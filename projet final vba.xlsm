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2.xml" ContentType="application/vnd.openxmlformats-officedocument.spreadsheetml.table+xml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eth\Desktop\VBA_Final\RENDU DU PROJET FINAL VBA MSDA 2020\"/>
    </mc:Choice>
  </mc:AlternateContent>
  <bookViews>
    <workbookView xWindow="0" yWindow="0" windowWidth="16815" windowHeight="7755"/>
  </bookViews>
  <sheets>
    <sheet name="Accueil" sheetId="15" r:id="rId1"/>
    <sheet name="TBord" sheetId="12" r:id="rId2"/>
    <sheet name="listes_employes" sheetId="1" r:id="rId3"/>
    <sheet name="Sexe" sheetId="2" r:id="rId4"/>
    <sheet name="Etat_Civil" sheetId="3" r:id="rId5"/>
    <sheet name="Categorie" sheetId="4" r:id="rId6"/>
    <sheet name="livre_paie" sheetId="5" r:id="rId7"/>
    <sheet name="ecritures_comptables" sheetId="6" r:id="rId8"/>
    <sheet name="bulletinA" sheetId="7" r:id="rId9"/>
    <sheet name="bulletinB" sheetId="8" r:id="rId10"/>
    <sheet name="bulletinC" sheetId="9" r:id="rId11"/>
  </sheets>
  <definedNames>
    <definedName name="bulletinB">bulletinB!$A$1:$F$26</definedName>
    <definedName name="bulletinC">bulletinC!$A$1:$F$26</definedName>
    <definedName name="bulletinQ">bulletinA!$A$1:$F$26</definedName>
    <definedName name="enregistrement">ecritures_comptables!$A$1:$M$16</definedName>
    <definedName name="livre_de_paie">listes_employes3[#All]</definedName>
  </definedNames>
  <calcPr calcId="152511"/>
  <pivotCaches>
    <pivotCache cacheId="0" r:id="rId12"/>
  </pivotCaches>
</workbook>
</file>

<file path=xl/calcChain.xml><?xml version="1.0" encoding="utf-8"?>
<calcChain xmlns="http://schemas.openxmlformats.org/spreadsheetml/2006/main">
  <c r="F24" i="9" l="1"/>
  <c r="F14" i="9"/>
  <c r="E14" i="9" s="1"/>
  <c r="E16" i="9" s="1"/>
  <c r="F24" i="8"/>
  <c r="F14" i="8"/>
  <c r="E14" i="8" s="1"/>
  <c r="E16" i="8" s="1"/>
  <c r="F24" i="7"/>
  <c r="F14" i="7"/>
  <c r="E16" i="7" s="1"/>
  <c r="E14" i="7" s="1"/>
  <c r="G52" i="5" l="1"/>
  <c r="L14" i="6"/>
  <c r="L16" i="6" s="1"/>
  <c r="M11" i="6"/>
  <c r="M7" i="6"/>
  <c r="M5" i="6"/>
  <c r="M15" i="6" l="1"/>
  <c r="M16" i="6" s="1"/>
  <c r="D52" i="5"/>
  <c r="E52" i="5"/>
  <c r="F52" i="5"/>
  <c r="H52" i="5"/>
  <c r="I52" i="5"/>
  <c r="J52" i="5"/>
  <c r="K52" i="5"/>
  <c r="L52" i="5"/>
  <c r="M52" i="5"/>
  <c r="N52" i="5"/>
  <c r="C52" i="5"/>
</calcChain>
</file>

<file path=xl/sharedStrings.xml><?xml version="1.0" encoding="utf-8"?>
<sst xmlns="http://schemas.openxmlformats.org/spreadsheetml/2006/main" count="686" uniqueCount="297">
  <si>
    <t>N°</t>
  </si>
  <si>
    <t>Matricule</t>
  </si>
  <si>
    <t>Prenom</t>
  </si>
  <si>
    <t>Nom</t>
  </si>
  <si>
    <t>Date_Nais</t>
  </si>
  <si>
    <t>Lieu_Nais</t>
  </si>
  <si>
    <t>Sexe</t>
  </si>
  <si>
    <t>Categorie</t>
  </si>
  <si>
    <t>Etat_Civil</t>
  </si>
  <si>
    <t>Nb_Epouse</t>
  </si>
  <si>
    <t>Nb_Enfants</t>
  </si>
  <si>
    <t>Sursalaire</t>
  </si>
  <si>
    <t>HS_15</t>
  </si>
  <si>
    <t>HS_40</t>
  </si>
  <si>
    <t>HS_60</t>
  </si>
  <si>
    <t>HS_100</t>
  </si>
  <si>
    <t>Prime</t>
  </si>
  <si>
    <t>Avantage</t>
  </si>
  <si>
    <t>Indemnite</t>
  </si>
  <si>
    <t>IPM</t>
  </si>
  <si>
    <t>Avance_Ac</t>
  </si>
  <si>
    <t>Opposition</t>
  </si>
  <si>
    <t>Sal_Base</t>
  </si>
  <si>
    <t>SBS</t>
  </si>
  <si>
    <t>RG</t>
  </si>
  <si>
    <t>RC</t>
  </si>
  <si>
    <t>TRIMF</t>
  </si>
  <si>
    <t>SBF</t>
  </si>
  <si>
    <t>Retenues</t>
  </si>
  <si>
    <t>Sal_Net</t>
  </si>
  <si>
    <t>M</t>
  </si>
  <si>
    <t>F</t>
  </si>
  <si>
    <t>celibataire</t>
  </si>
  <si>
    <t>marie</t>
  </si>
  <si>
    <t>A</t>
  </si>
  <si>
    <t>B</t>
  </si>
  <si>
    <t>C</t>
  </si>
  <si>
    <t>Total_HS</t>
  </si>
  <si>
    <t>impot_mensuel</t>
  </si>
  <si>
    <t>1231-BA/B</t>
  </si>
  <si>
    <t>ADAMA</t>
  </si>
  <si>
    <t>BA</t>
  </si>
  <si>
    <t>DAKAR</t>
  </si>
  <si>
    <t>1232-BAMPASSY/B</t>
  </si>
  <si>
    <t>ALEX</t>
  </si>
  <si>
    <t>BAMPASSY</t>
  </si>
  <si>
    <t>26/10/1975</t>
  </si>
  <si>
    <t>TAMBA</t>
  </si>
  <si>
    <t>1233-BEYE/B</t>
  </si>
  <si>
    <t>ALA</t>
  </si>
  <si>
    <t>BEYE</t>
  </si>
  <si>
    <t>17/10/1982</t>
  </si>
  <si>
    <t>GOUDIRY</t>
  </si>
  <si>
    <t>1234-BOYE/C</t>
  </si>
  <si>
    <t>MEDOUNE</t>
  </si>
  <si>
    <t>BOYE</t>
  </si>
  <si>
    <t>22/02/1980</t>
  </si>
  <si>
    <t>FATICK</t>
  </si>
  <si>
    <t>1235-CISSE/C</t>
  </si>
  <si>
    <t>LAHAT</t>
  </si>
  <si>
    <t>CISSE</t>
  </si>
  <si>
    <t>17/04/1983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</si>
  <si>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</si>
  <si>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</si>
  <si>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</si>
  <si>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</si>
  <si>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</si>
  <si>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</si>
  <si>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</si>
  <si>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</si>
  <si>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31/01/1982</t>
  </si>
  <si>
    <t>PIKINE</t>
  </si>
  <si>
    <t>4568-DIALLO/A</t>
  </si>
  <si>
    <t>YACINE</t>
  </si>
  <si>
    <t>DIALLO</t>
  </si>
  <si>
    <t>17/10/1975</t>
  </si>
  <si>
    <t>1239-DIALLO/A</t>
  </si>
  <si>
    <t>ALIOUNE NDIAYE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</si>
  <si>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</si>
  <si>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</si>
  <si>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</si>
  <si>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</si>
  <si>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</si>
  <si>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</si>
  <si>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</si>
  <si>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26/08/1977</t>
  </si>
  <si>
    <t>ZIGUINCHOR</t>
  </si>
  <si>
    <t>12312-DIATTA/B</t>
  </si>
  <si>
    <t>LEON</t>
  </si>
  <si>
    <t>DIATTA</t>
  </si>
  <si>
    <t>19/07/1979</t>
  </si>
  <si>
    <t>OUSSOUYE</t>
  </si>
  <si>
    <t>45613-DIAW/B</t>
  </si>
  <si>
    <t>AWA</t>
  </si>
  <si>
    <t>DIAW</t>
  </si>
  <si>
    <t>30/09/1982</t>
  </si>
  <si>
    <t>DIOURBEL</t>
  </si>
  <si>
    <t>12314-DIOP/C</t>
  </si>
  <si>
    <t>HABIB</t>
  </si>
  <si>
    <t>DIOP</t>
  </si>
  <si>
    <t>17/09/1985</t>
  </si>
  <si>
    <t>BAMBEY</t>
  </si>
  <si>
    <t>12315-DIOP/C</t>
  </si>
  <si>
    <t>BABACAR</t>
  </si>
  <si>
    <t>19/03/1984</t>
  </si>
  <si>
    <t>12316-DIOUF/C</t>
  </si>
  <si>
    <t>MODOU</t>
  </si>
  <si>
    <t>DIOUF</t>
  </si>
  <si>
    <t>14/04/1978</t>
  </si>
  <si>
    <t>KAFFRINE</t>
  </si>
  <si>
    <t>12317-DIOUF/C</t>
  </si>
  <si>
    <t>HENRY</t>
  </si>
  <si>
    <t>27/01/1977</t>
  </si>
  <si>
    <t>LOMPOUL</t>
  </si>
  <si>
    <t>12318-DIOUM/A</t>
  </si>
  <si>
    <t>ASSANE</t>
  </si>
  <si>
    <t>DIOUM</t>
  </si>
  <si>
    <t>16/05/1982</t>
  </si>
  <si>
    <t>MBOUR</t>
  </si>
  <si>
    <t>12319-FALL/C</t>
  </si>
  <si>
    <t>SENGANE</t>
  </si>
  <si>
    <t>FALL</t>
  </si>
  <si>
    <t>31/10/1984</t>
  </si>
  <si>
    <t>JOAL</t>
  </si>
  <si>
    <t>12320-FALL/B</t>
  </si>
  <si>
    <t>LAMINE</t>
  </si>
  <si>
    <t>28/11/1977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</si>
  <si>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</si>
  <si>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</si>
  <si>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</si>
  <si>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</si>
  <si>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</si>
  <si>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</si>
  <si>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</si>
  <si>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</si>
  <si>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</si>
  <si>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</si>
  <si>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</si>
  <si>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</si>
  <si>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</si>
  <si>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</si>
  <si>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</si>
  <si>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27/10/1979</t>
  </si>
  <si>
    <t>SEDHIOU</t>
  </si>
  <si>
    <t>45625-GUEYE/C</t>
  </si>
  <si>
    <t>KINE</t>
  </si>
  <si>
    <t>AERE LAO</t>
  </si>
  <si>
    <t>12326-KANDJI/C</t>
  </si>
  <si>
    <t>MADIOP</t>
  </si>
  <si>
    <t>KANDJI</t>
  </si>
  <si>
    <t>27/07/1985</t>
  </si>
  <si>
    <t>KEDOUGOU</t>
  </si>
  <si>
    <t>12327-KARE/A</t>
  </si>
  <si>
    <t>KARE</t>
  </si>
  <si>
    <t>18/11/1985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</si>
  <si>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</si>
  <si>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</si>
  <si>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</si>
  <si>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</si>
  <si>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</si>
  <si>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</si>
  <si>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</si>
  <si>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</si>
  <si>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TIVAOUANE</t>
  </si>
  <si>
    <t>12330-LO/A</t>
  </si>
  <si>
    <t>MOUSTAPHA DIOP</t>
  </si>
  <si>
    <t>LO</t>
  </si>
  <si>
    <t>21/12/1978</t>
  </si>
  <si>
    <t>LINGUERE</t>
  </si>
  <si>
    <t>12331-LY/A</t>
  </si>
  <si>
    <t>ABDOULAYE MASSECK</t>
  </si>
  <si>
    <t>LY</t>
  </si>
  <si>
    <t>LAMBAYE</t>
  </si>
  <si>
    <t>12332-MBAYE/B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</si>
  <si>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</si>
  <si>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</si>
  <si>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</si>
  <si>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</si>
  <si>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</si>
  <si>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</si>
  <si>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</si>
  <si>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</si>
  <si>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</si>
  <si>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</si>
  <si>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</si>
  <si>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</si>
  <si>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</si>
  <si>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</si>
  <si>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16/08/1982</t>
  </si>
  <si>
    <t>OUAKAM</t>
  </si>
  <si>
    <t>12336-PREIRA/B</t>
  </si>
  <si>
    <t>FRANCOIS</t>
  </si>
  <si>
    <t>PREIRA</t>
  </si>
  <si>
    <t>20/06/1977</t>
  </si>
  <si>
    <t>PARIS</t>
  </si>
  <si>
    <t>12337-SAGNA/C</t>
  </si>
  <si>
    <t>SAGNA</t>
  </si>
  <si>
    <t>12338-SAGNA/A</t>
  </si>
  <si>
    <t>FREDERIC</t>
  </si>
  <si>
    <t>24/03/1976</t>
  </si>
  <si>
    <t>45639-SAMB/C</t>
  </si>
  <si>
    <t>ALIMATOU</t>
  </si>
  <si>
    <t>SAMB</t>
  </si>
  <si>
    <t>19/10/1976</t>
  </si>
  <si>
    <t>45640-SAMB/C</t>
  </si>
  <si>
    <t>DIARRY</t>
  </si>
  <si>
    <t>16/05/1981</t>
  </si>
  <si>
    <t>12341-SARR/A</t>
  </si>
  <si>
    <t>OMAR</t>
  </si>
  <si>
    <t>SARR</t>
  </si>
  <si>
    <t>29/08/1997</t>
  </si>
  <si>
    <t>12342-SECK/C</t>
  </si>
  <si>
    <t>MAURY</t>
  </si>
  <si>
    <t>SECK</t>
  </si>
  <si>
    <t>19/04/1977</t>
  </si>
  <si>
    <t>THIES</t>
  </si>
  <si>
    <t>12343-SENE/C</t>
  </si>
  <si>
    <t>IBRAHIMA</t>
  </si>
  <si>
    <t>SENE</t>
  </si>
  <si>
    <t>18/06/1979</t>
  </si>
  <si>
    <t>MBACKE</t>
  </si>
  <si>
    <t>12344-SEYDI/B</t>
  </si>
  <si>
    <t>MOUSSA</t>
  </si>
  <si>
    <t>SEYDI</t>
  </si>
  <si>
    <t>45645-SOW/B</t>
  </si>
  <si>
    <t>KHADY</t>
  </si>
  <si>
    <t>SOW</t>
  </si>
  <si>
    <t>23/03/1984</t>
  </si>
  <si>
    <t>CAS CAS</t>
  </si>
  <si>
    <t>12346-SY/B</t>
  </si>
  <si>
    <t>ALPHA</t>
  </si>
  <si>
    <t>SY</t>
  </si>
  <si>
    <t>29/11/1984</t>
  </si>
  <si>
    <t>12347-TALL/B</t>
  </si>
  <si>
    <t>MOUSTAPHA</t>
  </si>
  <si>
    <t>TALL</t>
  </si>
  <si>
    <t>19/07/1976</t>
  </si>
  <si>
    <t>45648-TALL/B</t>
  </si>
  <si>
    <t>NDEYE</t>
  </si>
  <si>
    <t>29/07/1985</t>
  </si>
  <si>
    <t>12349-TAVARESE/B</t>
  </si>
  <si>
    <t>PHILIPPE MODOU</t>
  </si>
  <si>
    <t>TAVARESE</t>
  </si>
  <si>
    <t>23/04/1985</t>
  </si>
  <si>
    <t>12350-THIAM/B</t>
  </si>
  <si>
    <t>KHADIM</t>
  </si>
  <si>
    <t>THIAM</t>
  </si>
  <si>
    <t>21/12/1981</t>
  </si>
  <si>
    <t>TOTAL</t>
  </si>
  <si>
    <t>Avance et Acompte</t>
  </si>
  <si>
    <t>Banque</t>
  </si>
  <si>
    <t>Remuneration Directe versée au pers</t>
  </si>
  <si>
    <t>indmnités forfaitaires</t>
  </si>
  <si>
    <t>Personnel remuneration dues</t>
  </si>
  <si>
    <t xml:space="preserve"> Etat impots retenues a la source</t>
  </si>
  <si>
    <t>IR</t>
  </si>
  <si>
    <t xml:space="preserve"> </t>
  </si>
  <si>
    <t xml:space="preserve"> Avances et Acompte</t>
  </si>
  <si>
    <t xml:space="preserve"> Retraite obligatoire</t>
  </si>
  <si>
    <t>Retraite facultative</t>
  </si>
  <si>
    <t xml:space="preserve"> Mutuelle de santé</t>
  </si>
  <si>
    <t xml:space="preserve"> Opposition</t>
  </si>
  <si>
    <t>Né(e) le</t>
  </si>
  <si>
    <t>à</t>
  </si>
  <si>
    <t>BULLETIN DE SALAIRE</t>
  </si>
  <si>
    <t>Salaire de Base</t>
  </si>
  <si>
    <t>Heure Sup 15%</t>
  </si>
  <si>
    <t>Heure Sup 40%</t>
  </si>
  <si>
    <t>Heure Sup 60%</t>
  </si>
  <si>
    <t>Heure Sup 100%</t>
  </si>
  <si>
    <t>Salaire Brut Social</t>
  </si>
  <si>
    <t>Salaire Brut Fiscal</t>
  </si>
  <si>
    <t>Regime General</t>
  </si>
  <si>
    <t>Regime Cadre</t>
  </si>
  <si>
    <t>Acomptes et Avance</t>
  </si>
  <si>
    <t>Salaire Net</t>
  </si>
  <si>
    <t>Total des Retenues</t>
  </si>
  <si>
    <t>Marié</t>
  </si>
  <si>
    <t>1 epouse   et</t>
  </si>
  <si>
    <t>3 enfants</t>
  </si>
  <si>
    <t>ayant</t>
  </si>
  <si>
    <t>Celibataire</t>
  </si>
  <si>
    <t>sans</t>
  </si>
  <si>
    <t>enfant</t>
  </si>
  <si>
    <t xml:space="preserve">  enfant</t>
  </si>
  <si>
    <t>Étiquettes de lignes</t>
  </si>
  <si>
    <t>Total général</t>
  </si>
  <si>
    <t>Étiquettes de colonnes</t>
  </si>
  <si>
    <t>Total celibataire</t>
  </si>
  <si>
    <t>Nombre de RC</t>
  </si>
  <si>
    <t>Nombre de RG</t>
  </si>
  <si>
    <t>Nombre de Etat_Civil</t>
  </si>
  <si>
    <t>Total Nombre de RG</t>
  </si>
  <si>
    <t>Total Nombre de RC</t>
  </si>
  <si>
    <t>Total Nombre de Etat_Civil</t>
  </si>
  <si>
    <t>Nombre de femmes et d'hommes selon RG,RC,catégorie et l'etat civil</t>
  </si>
  <si>
    <t>Colonne1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</si>
</sst>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[Red]0"/>
  </numFmts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Font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31" xfId="0" applyBorder="1"/>
    <xf numFmtId="0" fontId="0" fillId="0" borderId="30" xfId="0" applyBorder="1"/>
    <xf numFmtId="0" fontId="1" fillId="0" borderId="29" xfId="0" applyFon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0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Font="1" applyBorder="1"/>
    <xf numFmtId="0" fontId="2" fillId="0" borderId="42" xfId="0" applyFont="1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44" xfId="0" applyFont="1" applyBorder="1"/>
    <xf numFmtId="14" fontId="0" fillId="0" borderId="44" xfId="0" applyNumberFormat="1" applyFont="1" applyBorder="1"/>
    <xf numFmtId="0" fontId="0" fillId="0" borderId="45" xfId="0" applyBorder="1"/>
    <xf numFmtId="0" fontId="0" fillId="0" borderId="46" xfId="0" applyBorder="1"/>
    <xf numFmtId="0" fontId="0" fillId="0" borderId="32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final vba.xlsm]TBord!Tableau croisé dynamique3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1"/>
    </c:view3D>
    <c:floor>
      <c:thickness val="0"/>
      <c:spPr>
        <a:noFill/>
        <a:ln w="9525">
          <a:noFill/>
        </a:ln>
      </c:spPr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TBord!$B$3:$B$6</c:f>
              <c:strCache>
                <c:ptCount val="1"/>
                <c:pt idx="0">
                  <c:v>Nombre de RG - celibataire - 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TBord!$B$7:$B$9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</c:ser>
        <c:ser>
          <c:idx val="1"/>
          <c:order val="1"/>
          <c:tx>
            <c:strRef>
              <c:f>TBord!$C$3:$C$6</c:f>
              <c:strCache>
                <c:ptCount val="1"/>
                <c:pt idx="0">
                  <c:v>Nombre de RG - celibataire - B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TBord!$C$7:$C$9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</c:ser>
        <c:ser>
          <c:idx val="2"/>
          <c:order val="2"/>
          <c:tx>
            <c:strRef>
              <c:f>TBord!$D$3:$D$6</c:f>
              <c:strCache>
                <c:ptCount val="1"/>
                <c:pt idx="0">
                  <c:v>Nombre de RG - celibataire - 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TBord!$D$7:$D$9</c:f>
              <c:numCache>
                <c:formatCode>General</c:formatCode>
                <c:ptCount val="2"/>
                <c:pt idx="0">
                  <c:v>3</c:v>
                </c:pt>
                <c:pt idx="1">
                  <c:v>6</c:v>
                </c:pt>
              </c:numCache>
            </c:numRef>
          </c:val>
        </c:ser>
        <c:ser>
          <c:idx val="3"/>
          <c:order val="3"/>
          <c:tx>
            <c:strRef>
              <c:f>TBord!$F$3:$F$6</c:f>
              <c:strCache>
                <c:ptCount val="1"/>
                <c:pt idx="0">
                  <c:v>Nombre de RC - celibataire - 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TBord!$F$7:$F$9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</c:ser>
        <c:ser>
          <c:idx val="4"/>
          <c:order val="4"/>
          <c:tx>
            <c:strRef>
              <c:f>TBord!$G$3:$G$6</c:f>
              <c:strCache>
                <c:ptCount val="1"/>
                <c:pt idx="0">
                  <c:v>Nombre de RC - celibataire - B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TBord!$G$7:$G$9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</c:ser>
        <c:ser>
          <c:idx val="5"/>
          <c:order val="5"/>
          <c:tx>
            <c:strRef>
              <c:f>TBord!$H$3:$H$6</c:f>
              <c:strCache>
                <c:ptCount val="1"/>
                <c:pt idx="0">
                  <c:v>Nombre de RC - celibataire - 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TBord!$H$7:$H$9</c:f>
              <c:numCache>
                <c:formatCode>General</c:formatCode>
                <c:ptCount val="2"/>
              </c:numCache>
            </c:numRef>
          </c:val>
        </c:ser>
        <c:ser>
          <c:idx val="6"/>
          <c:order val="6"/>
          <c:tx>
            <c:strRef>
              <c:f>TBord!$J$3:$J$6</c:f>
              <c:strCache>
                <c:ptCount val="1"/>
                <c:pt idx="0">
                  <c:v>Nombre de Etat_Civil - celibataire - 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TBord!$J$7:$J$9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</c:ser>
        <c:ser>
          <c:idx val="7"/>
          <c:order val="7"/>
          <c:tx>
            <c:strRef>
              <c:f>TBord!$K$3:$K$6</c:f>
              <c:strCache>
                <c:ptCount val="1"/>
                <c:pt idx="0">
                  <c:v>Nombre de Etat_Civil - celibataire - B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TBord!$K$7:$K$9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</c:ser>
        <c:ser>
          <c:idx val="8"/>
          <c:order val="8"/>
          <c:tx>
            <c:strRef>
              <c:f>TBord!$L$3:$L$6</c:f>
              <c:strCache>
                <c:ptCount val="1"/>
                <c:pt idx="0">
                  <c:v>Nombre de Etat_Civil - celibataire - 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TBord!$L$7:$L$9</c:f>
              <c:numCache>
                <c:formatCode>General</c:formatCode>
                <c:ptCount val="2"/>
                <c:pt idx="0">
                  <c:v>3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93411464"/>
        <c:axId val="393421264"/>
        <c:axId val="0"/>
      </c:bar3DChart>
      <c:catAx>
        <c:axId val="3934114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93421264"/>
        <c:crosses val="autoZero"/>
        <c:auto val="1"/>
        <c:lblAlgn val="ctr"/>
        <c:lblOffset val="100"/>
        <c:noMultiLvlLbl val="0"/>
      </c:catAx>
      <c:valAx>
        <c:axId val="393421264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crossAx val="393411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130582003609378"/>
          <c:y val="5.9914422743990448E-2"/>
          <c:w val="0.26202745933354077"/>
          <c:h val="0.911873994478895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23</xdr:col>
      <xdr:colOff>314324</xdr:colOff>
      <xdr:row>25</xdr:row>
      <xdr:rowOff>9525</xdr:rowOff>
    </xdr:to>
    <xdr:sp macro="" textlink="">
      <xdr:nvSpPr>
        <xdr:cNvPr id="2" name="Rectangle 1"/>
        <xdr:cNvSpPr/>
      </xdr:nvSpPr>
      <xdr:spPr>
        <a:xfrm>
          <a:off x="0" y="9525"/>
          <a:ext cx="17840324" cy="4762500"/>
        </a:xfrm>
        <a:prstGeom prst="rect">
          <a:avLst/>
        </a:prstGeom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>
          <a:prstTxWarp prst="textStop">
            <a:avLst/>
          </a:prstTxWarp>
        </a:bodyPr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390525</xdr:colOff>
      <xdr:row>0</xdr:row>
      <xdr:rowOff>38100</xdr:rowOff>
    </xdr:from>
    <xdr:to>
      <xdr:col>11</xdr:col>
      <xdr:colOff>742950</xdr:colOff>
      <xdr:row>3</xdr:row>
      <xdr:rowOff>161925</xdr:rowOff>
    </xdr:to>
    <xdr:sp macro="" textlink="">
      <xdr:nvSpPr>
        <xdr:cNvPr id="3" name="Rectangle à coins arrondis 2"/>
        <xdr:cNvSpPr/>
      </xdr:nvSpPr>
      <xdr:spPr>
        <a:xfrm>
          <a:off x="390525" y="38100"/>
          <a:ext cx="8734425" cy="695325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prstTxWarp prst="textWave2">
            <a:avLst/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3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imes New Roman" pitchFamily="18" charset="0"/>
              <a:cs typeface="Times New Roman" pitchFamily="18" charset="0"/>
            </a:rPr>
            <a:t>GESTION</a:t>
          </a:r>
          <a:r>
            <a:rPr lang="fr-FR" sz="3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imes New Roman" pitchFamily="18" charset="0"/>
              <a:cs typeface="Times New Roman" pitchFamily="18" charset="0"/>
            </a:rPr>
            <a:t> DE LA PAIE DES SALARIES</a:t>
          </a:r>
          <a:endParaRPr lang="fr-FR" sz="16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</xdr:row>
          <xdr:rowOff>0</xdr:rowOff>
        </xdr:from>
        <xdr:to>
          <xdr:col>4</xdr:col>
          <xdr:colOff>561975</xdr:colOff>
          <xdr:row>8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</xdr:row>
          <xdr:rowOff>180975</xdr:rowOff>
        </xdr:from>
        <xdr:to>
          <xdr:col>10</xdr:col>
          <xdr:colOff>276225</xdr:colOff>
          <xdr:row>8</xdr:row>
          <xdr:rowOff>180975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12</xdr:row>
          <xdr:rowOff>76200</xdr:rowOff>
        </xdr:from>
        <xdr:to>
          <xdr:col>4</xdr:col>
          <xdr:colOff>561975</xdr:colOff>
          <xdr:row>15</xdr:row>
          <xdr:rowOff>57150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18</xdr:row>
          <xdr:rowOff>76200</xdr:rowOff>
        </xdr:from>
        <xdr:to>
          <xdr:col>4</xdr:col>
          <xdr:colOff>581025</xdr:colOff>
          <xdr:row>21</xdr:row>
          <xdr:rowOff>47625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12</xdr:row>
          <xdr:rowOff>76200</xdr:rowOff>
        </xdr:from>
        <xdr:to>
          <xdr:col>10</xdr:col>
          <xdr:colOff>333375</xdr:colOff>
          <xdr:row>15</xdr:row>
          <xdr:rowOff>47625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18</xdr:row>
          <xdr:rowOff>19050</xdr:rowOff>
        </xdr:from>
        <xdr:to>
          <xdr:col>10</xdr:col>
          <xdr:colOff>352425</xdr:colOff>
          <xdr:row>21</xdr:row>
          <xdr:rowOff>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10</xdr:row>
      <xdr:rowOff>19051</xdr:rowOff>
    </xdr:from>
    <xdr:to>
      <xdr:col>11</xdr:col>
      <xdr:colOff>47625</xdr:colOff>
      <xdr:row>31</xdr:row>
      <xdr:rowOff>161925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£NRON" refreshedDate="43978.779762847225" createdVersion="4" refreshedVersion="4" minRefreshableVersion="3" recordCount="50">
  <cacheSource type="worksheet">
    <worksheetSource name="listes_employes"/>
  </cacheSource>
  <cacheFields count="32">
    <cacheField name="N°" numFmtId="0">
      <sharedItems containsSemiMixedTypes="0" containsString="0" containsNumber="1" containsInteger="1" minValue="1" maxValue="50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</sharedItems>
    </cacheField>
    <cacheField name="Matricule" numFmtId="0">
      <sharedItems/>
    </cacheField>
    <cacheField name="Prenom" numFmtId="0">
      <sharedItems count="49">
        <s v="ADAMA"/>
        <s v="ALEX"/>
        <s v="ALA"/>
        <s v="MEDOUNE"/>
        <s v="LAHAT"/>
        <s v="FARY"/>
        <s v="MBOMBE"/>
        <s v="YACINE"/>
        <s v="ALIOUNE NDIAYE"/>
        <s v="KARIM ABDEL"/>
        <s v="AISSATOU SECK"/>
        <s v="LEON"/>
        <s v="AWA"/>
        <s v="HABIB"/>
        <s v="BABACAR"/>
        <s v="MODOU"/>
        <s v="HENRY"/>
        <s v="ASSANE"/>
        <s v="SENGANE"/>
        <s v="LAMINE"/>
        <s v="MOUHAMED"/>
        <s v="NDIAYA"/>
        <s v="DAME"/>
        <s v="BOUBA"/>
        <s v="KINE"/>
        <s v="MADIOP"/>
        <s v="THOMAS"/>
        <s v="AMY"/>
        <s v="MOUSTAPHA DIOP"/>
        <s v="ABDOULAYE MASSECK"/>
        <s v="ABDOU"/>
        <s v="KARIM"/>
        <s v="FATIM"/>
        <s v="YOUSSOU"/>
        <s v="FRANCOIS"/>
        <s v="MBAYE"/>
        <s v="FREDERIC"/>
        <s v="ALIMATOU"/>
        <s v="DIARRY"/>
        <s v="OMAR"/>
        <s v="MAURY"/>
        <s v="IBRAHIMA"/>
        <s v="MOUSSA"/>
        <s v="KHADY"/>
        <s v="ALPHA"/>
        <s v="MOUSTAPHA"/>
        <s v="NDEYE"/>
        <s v="PHILIPPE MODOU"/>
        <s v="KHADIM"/>
      </sharedItems>
    </cacheField>
    <cacheField name="Nom" numFmtId="0">
      <sharedItems count="41">
        <s v="BA"/>
        <s v="BAMPASSY"/>
        <s v="BEYE"/>
        <s v="BOYE"/>
        <s v="CISSE"/>
        <s v="DEME"/>
        <s v="DIAGNE"/>
        <s v="DIALLO"/>
        <s v="DIAME"/>
        <s v="DIAO"/>
        <s v="DIATTA"/>
        <s v="DIAW"/>
        <s v="DIOP"/>
        <s v="DIOUF"/>
        <s v="DIOUM"/>
        <s v="FALL"/>
        <s v="FAYE"/>
        <s v="GNING"/>
        <s v="GUEYE"/>
        <s v="KANDJI"/>
        <s v="KARE"/>
        <s v="KEBE"/>
        <s v="LAM"/>
        <s v="LO"/>
        <s v="LY"/>
        <s v="MBAYE"/>
        <s v="MBENGUE"/>
        <s v="NDIAYE"/>
        <s v="NGOM"/>
        <s v="PREIRA"/>
        <s v="SAGNA"/>
        <s v="SAMB"/>
        <s v="SARR"/>
        <s v="SECK"/>
        <s v="SENE"/>
        <s v="SEYDI"/>
        <s v="SOW"/>
        <s v="SY"/>
        <s v="TALL"/>
        <s v="TAVARESE"/>
        <s v="THIAM"/>
      </sharedItems>
    </cacheField>
    <cacheField name="Date_Nais" numFmtId="0">
      <sharedItems containsDate="1" containsMixedTypes="1" minDate="1975-04-05T00:00:00" maxDate="1985-03-05T00:00:00"/>
    </cacheField>
    <cacheField name="Lieu_Nais" numFmtId="0">
      <sharedItems/>
    </cacheField>
    <cacheField name="Sexe" numFmtId="0">
      <sharedItems count="2">
        <s v="M"/>
        <s v="F"/>
      </sharedItems>
    </cacheField>
    <cacheField name="Categorie" numFmtId="0">
      <sharedItems count="3">
        <s v="B"/>
        <s v="C"/>
        <s v="A"/>
      </sharedItems>
    </cacheField>
    <cacheField name="Etat_Civil" numFmtId="0">
      <sharedItems count="2">
        <s v="marie"/>
        <s v="celibataire"/>
      </sharedItems>
    </cacheField>
    <cacheField name="Nb_Epouse" numFmtId="0">
      <sharedItems containsSemiMixedTypes="0" containsString="0" containsNumber="1" containsInteger="1" minValue="0" maxValue="3"/>
    </cacheField>
    <cacheField name="Nb_Enfants" numFmtId="0">
      <sharedItems containsSemiMixedTypes="0" containsString="0" containsNumber="1" containsInteger="1" minValue="0" maxValue="8"/>
    </cacheField>
    <cacheField name="Sal_Base" numFmtId="0">
      <sharedItems containsSemiMixedTypes="0" containsString="0" containsNumber="1" minValue="240062.05000000002" maxValue="469897.63000000006"/>
    </cacheField>
    <cacheField name="Sursalaire" numFmtId="0">
      <sharedItems containsSemiMixedTypes="0" containsString="0" containsNumber="1" containsInteger="1" minValue="0" maxValue="15000"/>
    </cacheField>
    <cacheField name="HS_15" numFmtId="0">
      <sharedItems containsSemiMixedTypes="0" containsString="0" containsNumber="1" containsInteger="1" minValue="0" maxValue="8"/>
    </cacheField>
    <cacheField name="HS_40" numFmtId="0">
      <sharedItems containsSemiMixedTypes="0" containsString="0" containsNumber="1" containsInteger="1" minValue="0" maxValue="5"/>
    </cacheField>
    <cacheField name="HS_60" numFmtId="0">
      <sharedItems containsSemiMixedTypes="0" containsString="0" containsNumber="1" containsInteger="1" minValue="0" maxValue="6"/>
    </cacheField>
    <cacheField name="HS_100" numFmtId="0">
      <sharedItems containsSemiMixedTypes="0" containsString="0" containsNumber="1" containsInteger="1" minValue="0" maxValue="8"/>
    </cacheField>
    <cacheField name="Total_HS" numFmtId="0">
      <sharedItems containsSemiMixedTypes="0" containsString="0" containsNumber="1" containsInteger="1" minValue="0" maxValue="23432"/>
    </cacheField>
    <cacheField name="Prime" numFmtId="0">
      <sharedItems containsSemiMixedTypes="0" containsString="0" containsNumber="1" containsInteger="1" minValue="0" maxValue="15000"/>
    </cacheField>
    <cacheField name="Indemnite" numFmtId="0">
      <sharedItems containsSemiMixedTypes="0" containsString="0" containsNumber="1" containsInteger="1" minValue="0" maxValue="25000"/>
    </cacheField>
    <cacheField name="SBS" numFmtId="0">
      <sharedItems containsSemiMixedTypes="0" containsString="0" containsNumber="1" minValue="240062.05000000002" maxValue="489897.63000000006"/>
    </cacheField>
    <cacheField name="Avantage" numFmtId="0">
      <sharedItems containsSemiMixedTypes="0" containsString="0" containsNumber="1" containsInteger="1" minValue="0" maxValue="65000"/>
    </cacheField>
    <cacheField name="SBF" numFmtId="0">
      <sharedItems containsSemiMixedTypes="0" containsString="0" containsNumber="1" minValue="240062.05000000002" maxValue="544897.63000000012"/>
    </cacheField>
    <cacheField name="IPM" numFmtId="0">
      <sharedItems containsSemiMixedTypes="0" containsString="0" containsNumber="1" containsInteger="1" minValue="0" maxValue="5000"/>
    </cacheField>
    <cacheField name="Avance_Ac" numFmtId="0">
      <sharedItems containsSemiMixedTypes="0" containsString="0" containsNumber="1" containsInteger="1" minValue="0" maxValue="55000"/>
    </cacheField>
    <cacheField name="Opposition" numFmtId="0">
      <sharedItems containsSemiMixedTypes="0" containsString="0" containsNumber="1" containsInteger="1" minValue="0" maxValue="30000"/>
    </cacheField>
    <cacheField name="RG" numFmtId="0">
      <sharedItems containsSemiMixedTypes="0" containsString="0" containsNumber="1" minValue="13443.474800000002" maxValue="20160" count="20">
        <n v="20160"/>
        <n v="14251.666800000001"/>
        <n v="14872.930800000004"/>
        <n v="13443.474800000002"/>
        <n v="19742.833600000002"/>
        <n v="13753.714800000002"/>
        <n v="14468.834800000001"/>
        <n v="13800.250800000002"/>
        <n v="14063.954800000001"/>
        <n v="14048.442800000001"/>
        <n v="14406.786800000002"/>
        <n v="14079.466800000002"/>
        <n v="15139.266800000003"/>
        <n v="19946.449600000004"/>
        <n v="19833.329600000001"/>
        <n v="20059.569600000003"/>
        <n v="14003.474800000002"/>
        <n v="15106.394800000004"/>
        <n v="19810.705600000001"/>
        <n v="19607.089600000003"/>
      </sharedItems>
    </cacheField>
    <cacheField name="RC" numFmtId="0">
      <sharedItems containsString="0" containsBlank="1" containsNumber="1" minValue="8643.0384000000013" maxValue="11757.543120000002" count="21">
        <n v="9016.9583999999995"/>
        <n v="9363.6144000000004"/>
        <n v="9154.5264000000006"/>
        <m/>
        <n v="11517.543120000002"/>
        <n v="11277.543120000002"/>
        <n v="9187.2624000000014"/>
        <n v="9237.6624000000011"/>
        <n v="8843.3904000000002"/>
        <n v="9445.4064000000017"/>
        <n v="8643.0384000000013"/>
        <n v="8723.0064000000002"/>
        <n v="11469.543120000002"/>
        <n v="11757.543120000002"/>
        <n v="8693.9184000000005"/>
        <n v="9003.0384000000013"/>
        <n v="8703.9984000000004"/>
        <n v="8763.0384000000013"/>
        <n v="8790.8784000000014"/>
        <n v="9351.0384000000013"/>
        <n v="8735.8704000000016"/>
      </sharedItems>
    </cacheField>
    <cacheField name="TRIMF" numFmtId="0">
      <sharedItems containsSemiMixedTypes="0" containsString="0" containsNumber="1" containsInteger="1" minValue="900" maxValue="3600"/>
    </cacheField>
    <cacheField name="impot_mensuel" numFmtId="0">
      <sharedItems containsSemiMixedTypes="0" containsString="0" containsNumber="1" minValue="-39253.636166666663" maxValue="116047.50383333334"/>
    </cacheField>
    <cacheField name="Retenues" numFmtId="0">
      <sharedItems containsSemiMixedTypes="0" containsString="0" containsNumber="1" minValue="-13110.16136666666" maxValue="170855.29657000003"/>
    </cacheField>
    <cacheField name="Sal_Net" numFmtId="0">
      <sharedItems containsSemiMixedTypes="0" containsString="0" containsNumber="1" minValue="159972.03753333335" maxValue="447320.08688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s v="1231-BA/B"/>
    <x v="0"/>
    <x v="0"/>
    <d v="1983-09-09T00:00:00"/>
    <s v="DAKAR"/>
    <x v="0"/>
    <x v="0"/>
    <x v="0"/>
    <n v="1"/>
    <n v="3"/>
    <n v="350126.60000000003"/>
    <n v="0"/>
    <n v="0"/>
    <n v="0"/>
    <n v="0"/>
    <n v="4"/>
    <n v="8080"/>
    <n v="0"/>
    <n v="17500"/>
    <n v="375706.60000000003"/>
    <n v="0"/>
    <n v="375706.60000000003"/>
    <n v="4500"/>
    <n v="25000"/>
    <n v="0"/>
    <x v="0"/>
    <x v="0"/>
    <n v="1800"/>
    <n v="25545.313333333335"/>
    <n v="86022.271733333342"/>
    <n v="289684.32826666668"/>
  </r>
  <r>
    <x v="1"/>
    <s v="1232-BAMPASSY/B"/>
    <x v="1"/>
    <x v="1"/>
    <s v="26/10/1975"/>
    <s v="TAMBA"/>
    <x v="0"/>
    <x v="0"/>
    <x v="1"/>
    <n v="0"/>
    <n v="0"/>
    <n v="350126.60000000003"/>
    <n v="0"/>
    <n v="8"/>
    <n v="4"/>
    <n v="0"/>
    <n v="3"/>
    <n v="12524"/>
    <n v="15000"/>
    <n v="12500"/>
    <n v="390150.60000000003"/>
    <n v="0"/>
    <n v="390150.60000000003"/>
    <n v="0"/>
    <n v="0"/>
    <n v="0"/>
    <x v="0"/>
    <x v="1"/>
    <n v="900"/>
    <n v="71545.180000000008"/>
    <n v="101968.79440000001"/>
    <n v="288181.80560000002"/>
  </r>
  <r>
    <x v="2"/>
    <s v="1233-BEYE/B"/>
    <x v="2"/>
    <x v="2"/>
    <s v="17/10/1982"/>
    <s v="GOUDIRY"/>
    <x v="0"/>
    <x v="0"/>
    <x v="0"/>
    <n v="2"/>
    <n v="6"/>
    <n v="350126.60000000003"/>
    <n v="0"/>
    <n v="0"/>
    <n v="0"/>
    <n v="6"/>
    <n v="2"/>
    <n v="11312"/>
    <n v="0"/>
    <n v="20000"/>
    <n v="381438.60000000003"/>
    <n v="0"/>
    <n v="381438.60000000003"/>
    <n v="5000"/>
    <n v="0"/>
    <n v="0"/>
    <x v="0"/>
    <x v="2"/>
    <n v="2700"/>
    <n v="2264.9133333333398"/>
    <n v="39279.43973333334"/>
    <n v="342159.16026666667"/>
  </r>
  <r>
    <x v="3"/>
    <s v="1234-BOYE/C"/>
    <x v="3"/>
    <x v="3"/>
    <s v="22/02/1980"/>
    <s v="FATICK"/>
    <x v="0"/>
    <x v="1"/>
    <x v="0"/>
    <n v="1"/>
    <n v="1"/>
    <n v="240062.05000000002"/>
    <n v="0"/>
    <n v="8"/>
    <n v="4"/>
    <n v="0"/>
    <n v="0"/>
    <n v="4432"/>
    <n v="10000"/>
    <n v="0"/>
    <n v="254494.05000000002"/>
    <n v="0"/>
    <n v="254494.05000000002"/>
    <n v="0"/>
    <n v="0"/>
    <n v="0"/>
    <x v="1"/>
    <x v="3"/>
    <n v="1800"/>
    <n v="5848.2150000000011"/>
    <n v="21899.881800000003"/>
    <n v="232594.16820000001"/>
  </r>
  <r>
    <x v="4"/>
    <s v="1235-CISSE/C"/>
    <x v="4"/>
    <x v="4"/>
    <s v="17/04/1983"/>
    <s v="GUEDIAWAYE"/>
    <x v="0"/>
    <x v="1"/>
    <x v="1"/>
    <n v="0"/>
    <n v="1"/>
    <n v="240062.05000000002"/>
    <n v="15000"/>
    <n v="8"/>
    <n v="4"/>
    <n v="4"/>
    <n v="2"/>
    <n v="10526"/>
    <n v="0"/>
    <n v="0"/>
    <n v="265588.05000000005"/>
    <n v="35000"/>
    <n v="300588.05000000005"/>
    <n v="3500"/>
    <n v="30000"/>
    <n v="20000"/>
    <x v="2"/>
    <x v="3"/>
    <n v="900"/>
    <n v="36343.081666666687"/>
    <n v="105616.0124666667"/>
    <n v="159972.03753333335"/>
  </r>
  <r>
    <x v="5"/>
    <s v="1236-DEME/C"/>
    <x v="5"/>
    <x v="5"/>
    <d v="1979-10-10T00:00:00"/>
    <s v="RANEROU"/>
    <x v="0"/>
    <x v="1"/>
    <x v="1"/>
    <n v="0"/>
    <n v="0"/>
    <n v="240062.05000000002"/>
    <n v="0"/>
    <n v="0"/>
    <n v="0"/>
    <n v="0"/>
    <n v="0"/>
    <n v="0"/>
    <n v="0"/>
    <n v="0"/>
    <n v="240062.05000000002"/>
    <n v="0"/>
    <n v="240062.05000000002"/>
    <n v="2500"/>
    <n v="0"/>
    <n v="0"/>
    <x v="3"/>
    <x v="3"/>
    <n v="900"/>
    <n v="27413.030500000004"/>
    <n v="44256.505300000004"/>
    <n v="195805.54470000003"/>
  </r>
  <r>
    <x v="6"/>
    <s v="4567-DIAGNE/A"/>
    <x v="6"/>
    <x v="6"/>
    <s v="31/01/1982"/>
    <s v="PIKINE"/>
    <x v="1"/>
    <x v="2"/>
    <x v="0"/>
    <n v="0"/>
    <n v="4"/>
    <n v="469897.63000000006"/>
    <n v="0"/>
    <n v="0"/>
    <n v="0"/>
    <n v="0"/>
    <n v="0"/>
    <n v="0"/>
    <n v="10000"/>
    <n v="0"/>
    <n v="479897.63000000006"/>
    <n v="60000"/>
    <n v="539897.63000000012"/>
    <n v="0"/>
    <n v="0"/>
    <n v="0"/>
    <x v="0"/>
    <x v="4"/>
    <n v="900"/>
    <n v="0"/>
    <n v="32577.543120000002"/>
    <n v="447320.08688000008"/>
  </r>
  <r>
    <x v="7"/>
    <s v="4568-DIALLO/A"/>
    <x v="7"/>
    <x v="7"/>
    <s v="17/10/1975"/>
    <s v="DAKAR"/>
    <x v="1"/>
    <x v="2"/>
    <x v="1"/>
    <n v="0"/>
    <n v="0"/>
    <n v="469897.63000000006"/>
    <n v="0"/>
    <n v="0"/>
    <n v="0"/>
    <n v="0"/>
    <n v="0"/>
    <n v="0"/>
    <n v="0"/>
    <n v="0"/>
    <n v="469897.63000000006"/>
    <n v="0"/>
    <n v="469897.63000000006"/>
    <n v="3000"/>
    <n v="0"/>
    <n v="0"/>
    <x v="0"/>
    <x v="5"/>
    <n v="900"/>
    <n v="98547.503833333336"/>
    <n v="133885.04695333334"/>
    <n v="336012.5830466667"/>
  </r>
  <r>
    <x v="8"/>
    <s v="1239-DIALLO/A"/>
    <x v="8"/>
    <x v="7"/>
    <d v="1980-02-09T00:00:00"/>
    <s v="PIKINE"/>
    <x v="0"/>
    <x v="2"/>
    <x v="0"/>
    <n v="3"/>
    <n v="8"/>
    <n v="469897.63000000006"/>
    <n v="0"/>
    <n v="0"/>
    <n v="0"/>
    <n v="0"/>
    <n v="0"/>
    <n v="0"/>
    <n v="0"/>
    <n v="0"/>
    <n v="469897.63000000006"/>
    <n v="37500"/>
    <n v="507397.63000000006"/>
    <n v="3000"/>
    <n v="55000"/>
    <n v="0"/>
    <x v="0"/>
    <x v="5"/>
    <n v="3600"/>
    <n v="45005.837166666672"/>
    <n v="138043.38028666668"/>
    <n v="331854.24971333338"/>
  </r>
  <r>
    <x v="9"/>
    <s v="12310-DIAME/A"/>
    <x v="9"/>
    <x v="8"/>
    <d v="1976-08-05T00:00:00"/>
    <s v="BANJUL"/>
    <x v="0"/>
    <x v="2"/>
    <x v="1"/>
    <n v="0"/>
    <n v="0"/>
    <n v="469897.63000000006"/>
    <n v="0"/>
    <n v="0"/>
    <n v="0"/>
    <n v="0"/>
    <n v="0"/>
    <n v="0"/>
    <n v="0"/>
    <n v="0"/>
    <n v="469897.63000000006"/>
    <n v="50000"/>
    <n v="519897.63000000006"/>
    <n v="0"/>
    <n v="0"/>
    <n v="0"/>
    <x v="0"/>
    <x v="5"/>
    <n v="900"/>
    <n v="116047.50383333334"/>
    <n v="148385.04695333331"/>
    <n v="321512.58304666675"/>
  </r>
  <r>
    <x v="10"/>
    <s v="45611-DIAO/B"/>
    <x v="10"/>
    <x v="9"/>
    <s v="26/08/1977"/>
    <s v="ZIGUINCHOR"/>
    <x v="1"/>
    <x v="0"/>
    <x v="1"/>
    <n v="0"/>
    <n v="0"/>
    <n v="350126.60000000003"/>
    <n v="0"/>
    <n v="8"/>
    <n v="0"/>
    <n v="3"/>
    <n v="2"/>
    <n v="7676"/>
    <n v="0"/>
    <n v="25000"/>
    <n v="382802.60000000003"/>
    <n v="0"/>
    <n v="382802.60000000003"/>
    <n v="3000"/>
    <n v="0"/>
    <n v="0"/>
    <x v="0"/>
    <x v="6"/>
    <n v="900"/>
    <n v="69340.78"/>
    <n v="102588.04240000001"/>
    <n v="280214.55760000006"/>
  </r>
  <r>
    <x v="11"/>
    <s v="12312-DIATTA/B"/>
    <x v="11"/>
    <x v="10"/>
    <s v="19/07/1979"/>
    <s v="OUSSOUYE"/>
    <x v="0"/>
    <x v="0"/>
    <x v="1"/>
    <n v="0"/>
    <n v="0"/>
    <n v="350126.60000000003"/>
    <n v="0"/>
    <n v="0"/>
    <n v="0"/>
    <n v="2"/>
    <n v="0"/>
    <n v="2424"/>
    <n v="0"/>
    <n v="0"/>
    <n v="352550.60000000003"/>
    <n v="0"/>
    <n v="352550.60000000003"/>
    <n v="0"/>
    <n v="17500"/>
    <n v="0"/>
    <x v="4"/>
    <x v="3"/>
    <n v="900"/>
    <n v="60265.18"/>
    <n v="98408.013600000006"/>
    <n v="254142.58640000003"/>
  </r>
  <r>
    <x v="12"/>
    <s v="45613-DIAW/B"/>
    <x v="12"/>
    <x v="11"/>
    <s v="30/09/1982"/>
    <s v="DIOURBEL"/>
    <x v="1"/>
    <x v="0"/>
    <x v="1"/>
    <n v="0"/>
    <n v="1"/>
    <n v="350126.60000000003"/>
    <n v="0"/>
    <n v="8"/>
    <n v="5"/>
    <n v="3"/>
    <n v="3"/>
    <n v="17776"/>
    <n v="0"/>
    <n v="17000"/>
    <n v="384902.60000000003"/>
    <n v="0"/>
    <n v="384902.60000000003"/>
    <n v="3000"/>
    <n v="0"/>
    <n v="15000"/>
    <x v="0"/>
    <x v="7"/>
    <n v="900"/>
    <n v="61637.446666666663"/>
    <n v="109935.10906666666"/>
    <n v="274967.49093333341"/>
  </r>
  <r>
    <x v="13"/>
    <s v="12314-DIOP/C"/>
    <x v="13"/>
    <x v="12"/>
    <s v="17/09/1985"/>
    <s v="BAMBEY"/>
    <x v="0"/>
    <x v="1"/>
    <x v="1"/>
    <n v="0"/>
    <n v="0"/>
    <n v="240062.05000000002"/>
    <n v="0"/>
    <n v="0"/>
    <n v="0"/>
    <n v="0"/>
    <n v="0"/>
    <n v="0"/>
    <n v="0"/>
    <n v="0"/>
    <n v="240062.05000000002"/>
    <n v="0"/>
    <n v="240062.05000000002"/>
    <n v="2500"/>
    <n v="0"/>
    <n v="0"/>
    <x v="3"/>
    <x v="3"/>
    <n v="900"/>
    <n v="27413.030500000004"/>
    <n v="44256.505300000004"/>
    <n v="195805.54470000003"/>
  </r>
  <r>
    <x v="14"/>
    <s v="12315-DIOP/C"/>
    <x v="14"/>
    <x v="12"/>
    <s v="19/03/1984"/>
    <s v="BAMBEY"/>
    <x v="0"/>
    <x v="1"/>
    <x v="1"/>
    <n v="0"/>
    <n v="0"/>
    <n v="240062.05000000002"/>
    <n v="0"/>
    <n v="5"/>
    <n v="5"/>
    <n v="0"/>
    <n v="0"/>
    <n v="5540"/>
    <n v="0"/>
    <n v="0"/>
    <n v="245602.05000000002"/>
    <n v="0"/>
    <n v="245602.05000000002"/>
    <n v="0"/>
    <n v="0"/>
    <n v="0"/>
    <x v="5"/>
    <x v="3"/>
    <n v="900"/>
    <n v="28576.430500000006"/>
    <n v="43230.145300000004"/>
    <n v="202371.90470000001"/>
  </r>
  <r>
    <x v="15"/>
    <s v="12316-DIOUF/C"/>
    <x v="15"/>
    <x v="13"/>
    <s v="14/04/1978"/>
    <s v="KAFFRINE"/>
    <x v="0"/>
    <x v="1"/>
    <x v="0"/>
    <n v="1"/>
    <n v="4"/>
    <n v="240062.05000000002"/>
    <n v="0"/>
    <n v="8"/>
    <n v="0"/>
    <n v="0"/>
    <n v="6"/>
    <n v="8310"/>
    <n v="10000"/>
    <n v="0"/>
    <n v="258372.05000000002"/>
    <n v="0"/>
    <n v="258372.05000000002"/>
    <n v="0"/>
    <n v="0"/>
    <n v="0"/>
    <x v="6"/>
    <x v="3"/>
    <n v="1800"/>
    <n v="-17988.384999999998"/>
    <n v="-1719.5501999999979"/>
    <n v="260091.60020000002"/>
  </r>
  <r>
    <x v="16"/>
    <s v="12317-DIOUF/C"/>
    <x v="16"/>
    <x v="13"/>
    <s v="27/01/1977"/>
    <s v="LOMPOUL"/>
    <x v="0"/>
    <x v="1"/>
    <x v="0"/>
    <n v="1"/>
    <n v="3"/>
    <n v="240062.05000000002"/>
    <n v="0"/>
    <n v="0"/>
    <n v="2"/>
    <n v="5"/>
    <n v="0"/>
    <n v="6371"/>
    <n v="0"/>
    <n v="0"/>
    <n v="246433.05000000002"/>
    <n v="0"/>
    <n v="246433.05000000002"/>
    <n v="0"/>
    <n v="20000"/>
    <n v="0"/>
    <x v="7"/>
    <x v="3"/>
    <n v="1800"/>
    <n v="-12915.726166666665"/>
    <n v="22684.524633333334"/>
    <n v="223748.52536666667"/>
  </r>
  <r>
    <x v="17"/>
    <s v="12318-DIOUM/A"/>
    <x v="17"/>
    <x v="14"/>
    <s v="16/05/1982"/>
    <s v="MBOUR"/>
    <x v="0"/>
    <x v="2"/>
    <x v="0"/>
    <n v="2"/>
    <n v="7"/>
    <n v="469897.63000000006"/>
    <n v="0"/>
    <n v="0"/>
    <n v="0"/>
    <n v="0"/>
    <n v="0"/>
    <n v="0"/>
    <n v="10000"/>
    <n v="0"/>
    <n v="479897.63000000006"/>
    <n v="65000"/>
    <n v="544897.63000000012"/>
    <n v="0"/>
    <n v="15000"/>
    <n v="0"/>
    <x v="0"/>
    <x v="4"/>
    <n v="2700"/>
    <n v="58130.837166666715"/>
    <n v="107508.38028666672"/>
    <n v="372389.24971333332"/>
  </r>
  <r>
    <x v="18"/>
    <s v="12319-FALL/C"/>
    <x v="18"/>
    <x v="15"/>
    <s v="31/10/1984"/>
    <s v="JOAL"/>
    <x v="0"/>
    <x v="1"/>
    <x v="0"/>
    <n v="1"/>
    <n v="1"/>
    <n v="240062.05000000002"/>
    <n v="0"/>
    <n v="0"/>
    <n v="0"/>
    <n v="0"/>
    <n v="8"/>
    <n v="11080"/>
    <n v="0"/>
    <n v="0"/>
    <n v="251142.05000000002"/>
    <n v="0"/>
    <n v="251142.05000000002"/>
    <n v="3000"/>
    <n v="0"/>
    <n v="0"/>
    <x v="8"/>
    <x v="3"/>
    <n v="1800"/>
    <n v="4842.6150000000007"/>
    <n v="23706.569800000001"/>
    <n v="227435.48020000002"/>
  </r>
  <r>
    <x v="19"/>
    <s v="12320-FALL/B"/>
    <x v="19"/>
    <x v="15"/>
    <s v="28/11/1977"/>
    <s v="YOFF"/>
    <x v="0"/>
    <x v="0"/>
    <x v="0"/>
    <n v="1"/>
    <n v="3"/>
    <n v="350126.60000000003"/>
    <n v="13500"/>
    <n v="8"/>
    <n v="3"/>
    <n v="0"/>
    <n v="0"/>
    <n v="4848"/>
    <n v="0"/>
    <n v="0"/>
    <n v="368474.60000000003"/>
    <n v="0"/>
    <n v="368474.60000000003"/>
    <n v="2500"/>
    <n v="0"/>
    <n v="0"/>
    <x v="0"/>
    <x v="8"/>
    <n v="1800"/>
    <n v="23375.713333333337"/>
    <n v="56679.103733333337"/>
    <n v="311795.49626666668"/>
  </r>
  <r>
    <x v="20"/>
    <s v="12321-FAYE/B"/>
    <x v="20"/>
    <x v="16"/>
    <d v="1979-03-10T00:00:00"/>
    <s v="RUFISQUE"/>
    <x v="0"/>
    <x v="0"/>
    <x v="0"/>
    <n v="2"/>
    <n v="4"/>
    <n v="350126.60000000003"/>
    <n v="0"/>
    <n v="8"/>
    <n v="4"/>
    <n v="4"/>
    <n v="6"/>
    <n v="23432"/>
    <n v="0"/>
    <n v="20000"/>
    <n v="393558.60000000003"/>
    <n v="0"/>
    <n v="393558.60000000003"/>
    <n v="0"/>
    <n v="0"/>
    <n v="0"/>
    <x v="0"/>
    <x v="9"/>
    <n v="2700"/>
    <n v="14234.246666666673"/>
    <n v="46539.653066666673"/>
    <n v="347018.94693333335"/>
  </r>
  <r>
    <x v="21"/>
    <s v="45622-FAYE/B"/>
    <x v="21"/>
    <x v="16"/>
    <d v="1982-11-08T00:00:00"/>
    <s v="SAINT LOUIS"/>
    <x v="1"/>
    <x v="0"/>
    <x v="0"/>
    <n v="0"/>
    <n v="3"/>
    <n v="350126.60000000003"/>
    <n v="0"/>
    <n v="0"/>
    <n v="0"/>
    <n v="0"/>
    <n v="0"/>
    <n v="0"/>
    <n v="10000"/>
    <n v="0"/>
    <n v="360126.60000000003"/>
    <n v="0"/>
    <n v="360126.60000000003"/>
    <n v="0"/>
    <n v="0"/>
    <n v="0"/>
    <x v="0"/>
    <x v="10"/>
    <n v="900"/>
    <n v="0"/>
    <n v="29703.038400000001"/>
    <n v="330423.56160000002"/>
  </r>
  <r>
    <x v="22"/>
    <s v="12323-GNING/C"/>
    <x v="22"/>
    <x v="17"/>
    <d v="1975-04-05T00:00:00"/>
    <s v="TOUBA"/>
    <x v="0"/>
    <x v="1"/>
    <x v="0"/>
    <n v="2"/>
    <n v="5"/>
    <n v="240062.05000000002"/>
    <n v="0"/>
    <n v="0"/>
    <n v="0"/>
    <n v="3"/>
    <n v="6"/>
    <n v="10803"/>
    <n v="0"/>
    <n v="0"/>
    <n v="250865.05000000002"/>
    <n v="50000"/>
    <n v="300865.05000000005"/>
    <n v="0"/>
    <n v="0"/>
    <n v="0"/>
    <x v="9"/>
    <x v="3"/>
    <n v="2700"/>
    <n v="-21907.151666666654"/>
    <n v="-5158.7088666666532"/>
    <n v="256023.75886666667"/>
  </r>
  <r>
    <x v="23"/>
    <s v="12324-GUEYE/C"/>
    <x v="23"/>
    <x v="18"/>
    <s v="27/10/1979"/>
    <s v="SEDHIOU"/>
    <x v="0"/>
    <x v="1"/>
    <x v="0"/>
    <n v="1"/>
    <n v="0"/>
    <n v="240062.05000000002"/>
    <n v="0"/>
    <n v="8"/>
    <n v="5"/>
    <n v="2"/>
    <n v="0"/>
    <n v="7202"/>
    <n v="10000"/>
    <n v="0"/>
    <n v="257264.05000000002"/>
    <n v="0"/>
    <n v="257264.05000000002"/>
    <n v="2500"/>
    <n v="0"/>
    <n v="0"/>
    <x v="10"/>
    <x v="3"/>
    <n v="1800"/>
    <n v="0"/>
    <n v="18706.786800000002"/>
    <n v="238557.26320000002"/>
  </r>
  <r>
    <x v="24"/>
    <s v="45625-GUEYE/C"/>
    <x v="24"/>
    <x v="18"/>
    <d v="1978-02-04T00:00:00"/>
    <s v="AERE LAO"/>
    <x v="1"/>
    <x v="1"/>
    <x v="1"/>
    <n v="0"/>
    <n v="0"/>
    <n v="240062.05000000002"/>
    <n v="0"/>
    <n v="0"/>
    <n v="4"/>
    <n v="0"/>
    <n v="5"/>
    <n v="11357"/>
    <n v="0"/>
    <n v="0"/>
    <n v="251419.05000000002"/>
    <n v="0"/>
    <n v="251419.05000000002"/>
    <n v="3000"/>
    <n v="30000"/>
    <n v="0"/>
    <x v="11"/>
    <x v="3"/>
    <n v="900"/>
    <n v="29925.715"/>
    <n v="77905.181800000006"/>
    <n v="173513.86820000003"/>
  </r>
  <r>
    <x v="25"/>
    <s v="12326-KANDJI/C"/>
    <x v="25"/>
    <x v="19"/>
    <s v="27/07/1985"/>
    <s v="KEDOUGOU"/>
    <x v="0"/>
    <x v="1"/>
    <x v="1"/>
    <n v="0"/>
    <n v="0"/>
    <n v="240062.05000000002"/>
    <n v="12000"/>
    <n v="8"/>
    <n v="4"/>
    <n v="5"/>
    <n v="7"/>
    <n v="18282"/>
    <n v="0"/>
    <n v="0"/>
    <n v="270344.05000000005"/>
    <n v="0"/>
    <n v="270344.05000000005"/>
    <n v="0"/>
    <n v="0"/>
    <n v="0"/>
    <x v="12"/>
    <x v="3"/>
    <n v="900"/>
    <n v="35603.215000000018"/>
    <n v="51642.481800000023"/>
    <n v="218701.56820000004"/>
  </r>
  <r>
    <x v="26"/>
    <s v="12327-KARE/A"/>
    <x v="15"/>
    <x v="20"/>
    <s v="18/11/1985"/>
    <s v="BAKEL"/>
    <x v="0"/>
    <x v="2"/>
    <x v="1"/>
    <n v="0"/>
    <n v="0"/>
    <n v="469897.63000000006"/>
    <n v="0"/>
    <n v="0"/>
    <n v="0"/>
    <n v="0"/>
    <n v="0"/>
    <n v="0"/>
    <n v="0"/>
    <n v="0"/>
    <n v="469897.63000000006"/>
    <n v="15000"/>
    <n v="484897.63000000006"/>
    <n v="3000"/>
    <n v="0"/>
    <n v="0"/>
    <x v="0"/>
    <x v="5"/>
    <n v="900"/>
    <n v="103797.50383333334"/>
    <n v="139135.04695333334"/>
    <n v="330762.5830466667"/>
  </r>
  <r>
    <x v="27"/>
    <s v="12328-KEBE/B"/>
    <x v="26"/>
    <x v="21"/>
    <d v="1981-11-11T00:00:00"/>
    <s v="LOUGA"/>
    <x v="0"/>
    <x v="0"/>
    <x v="1"/>
    <n v="0"/>
    <n v="0"/>
    <n v="350126.60000000003"/>
    <n v="0"/>
    <n v="8"/>
    <n v="2"/>
    <n v="0"/>
    <n v="5"/>
    <n v="13332"/>
    <n v="0"/>
    <n v="0"/>
    <n v="363458.60000000003"/>
    <n v="0"/>
    <n v="363458.60000000003"/>
    <n v="2500"/>
    <n v="0"/>
    <n v="0"/>
    <x v="0"/>
    <x v="11"/>
    <n v="900"/>
    <n v="63537.580000000009"/>
    <n v="95820.586400000015"/>
    <n v="267638.01360000001"/>
  </r>
  <r>
    <x v="28"/>
    <s v="45629-LAM/A"/>
    <x v="27"/>
    <x v="22"/>
    <d v="1985-02-05T00:00:00"/>
    <s v="TIVAOUANE"/>
    <x v="1"/>
    <x v="2"/>
    <x v="0"/>
    <n v="0"/>
    <n v="2"/>
    <n v="469897.63000000006"/>
    <n v="0"/>
    <n v="0"/>
    <n v="0"/>
    <n v="0"/>
    <n v="0"/>
    <n v="0"/>
    <n v="10000"/>
    <n v="0"/>
    <n v="479897.63000000006"/>
    <n v="17500"/>
    <n v="497397.63000000006"/>
    <n v="0"/>
    <n v="0"/>
    <n v="0"/>
    <x v="0"/>
    <x v="4"/>
    <n v="900"/>
    <n v="0"/>
    <n v="32577.543120000002"/>
    <n v="447320.08688000008"/>
  </r>
  <r>
    <x v="29"/>
    <s v="12330-LO/A"/>
    <x v="28"/>
    <x v="23"/>
    <s v="21/12/1978"/>
    <s v="LINGUERE"/>
    <x v="0"/>
    <x v="2"/>
    <x v="0"/>
    <n v="3"/>
    <n v="7"/>
    <n v="469897.63000000006"/>
    <n v="0"/>
    <n v="0"/>
    <n v="0"/>
    <n v="0"/>
    <n v="0"/>
    <n v="0"/>
    <n v="8000"/>
    <n v="0"/>
    <n v="477897.63000000006"/>
    <n v="0"/>
    <n v="477897.63000000006"/>
    <n v="3000"/>
    <n v="12500"/>
    <n v="0"/>
    <x v="0"/>
    <x v="12"/>
    <n v="3600"/>
    <n v="34680.837166666672"/>
    <n v="85410.380286666681"/>
    <n v="392487.24971333338"/>
  </r>
  <r>
    <x v="30"/>
    <s v="12331-LY/A"/>
    <x v="29"/>
    <x v="24"/>
    <s v="28/11/1977"/>
    <s v="LAMBAYE"/>
    <x v="0"/>
    <x v="2"/>
    <x v="0"/>
    <n v="1"/>
    <n v="5"/>
    <n v="469897.63000000006"/>
    <n v="0"/>
    <n v="0"/>
    <n v="0"/>
    <n v="0"/>
    <n v="0"/>
    <n v="0"/>
    <n v="0"/>
    <n v="20000"/>
    <n v="489897.63000000006"/>
    <n v="10000"/>
    <n v="499897.63000000006"/>
    <n v="0"/>
    <n v="0"/>
    <n v="0"/>
    <x v="0"/>
    <x v="13"/>
    <n v="1800"/>
    <n v="50714.170500000007"/>
    <n v="84431.71362000001"/>
    <n v="405465.91638000007"/>
  </r>
  <r>
    <x v="31"/>
    <s v="12332-MBAYE/B"/>
    <x v="30"/>
    <x v="25"/>
    <d v="1985-03-04T00:00:00"/>
    <s v="KOLDA"/>
    <x v="0"/>
    <x v="0"/>
    <x v="0"/>
    <n v="1"/>
    <n v="3"/>
    <n v="350126.60000000003"/>
    <n v="0"/>
    <n v="8"/>
    <n v="0"/>
    <n v="0"/>
    <n v="3"/>
    <n v="6060"/>
    <n v="0"/>
    <n v="0"/>
    <n v="356186.60000000003"/>
    <n v="0"/>
    <n v="356186.60000000003"/>
    <n v="3000"/>
    <n v="0"/>
    <n v="0"/>
    <x v="13"/>
    <x v="3"/>
    <n v="1800"/>
    <n v="19689.313333333335"/>
    <n v="44435.762933333339"/>
    <n v="311750.83706666669"/>
  </r>
  <r>
    <x v="32"/>
    <s v="12333-MBENGUE/B"/>
    <x v="31"/>
    <x v="26"/>
    <d v="1977-09-09T00:00:00"/>
    <s v="KAOLACK"/>
    <x v="0"/>
    <x v="0"/>
    <x v="0"/>
    <n v="1"/>
    <n v="4"/>
    <n v="350126.60000000003"/>
    <n v="0"/>
    <n v="0"/>
    <n v="0"/>
    <n v="0"/>
    <n v="6"/>
    <n v="12120"/>
    <n v="0"/>
    <n v="0"/>
    <n v="362246.60000000003"/>
    <n v="0"/>
    <n v="362246.60000000003"/>
    <n v="3000"/>
    <n v="0"/>
    <n v="0"/>
    <x v="0"/>
    <x v="14"/>
    <n v="1800"/>
    <n v="13173.980000000001"/>
    <n v="46827.898400000005"/>
    <n v="315418.70160000003"/>
  </r>
  <r>
    <x v="33"/>
    <s v="45634-NDIAYE/B"/>
    <x v="32"/>
    <x v="27"/>
    <d v="1975-10-05T00:00:00"/>
    <s v="VELINGARA"/>
    <x v="1"/>
    <x v="0"/>
    <x v="0"/>
    <n v="0"/>
    <n v="2"/>
    <n v="350126.60000000003"/>
    <n v="0"/>
    <n v="8"/>
    <n v="0"/>
    <n v="0"/>
    <n v="0"/>
    <n v="0"/>
    <n v="0"/>
    <n v="25000"/>
    <n v="375126.60000000003"/>
    <n v="14500"/>
    <n v="389626.60000000003"/>
    <n v="0"/>
    <n v="10000"/>
    <n v="0"/>
    <x v="0"/>
    <x v="15"/>
    <n v="900"/>
    <n v="0"/>
    <n v="40063.038400000005"/>
    <n v="335063.56160000002"/>
  </r>
  <r>
    <x v="34"/>
    <s v="12335-NGOM/B"/>
    <x v="33"/>
    <x v="28"/>
    <s v="16/08/1982"/>
    <s v="OUAKAM"/>
    <x v="0"/>
    <x v="0"/>
    <x v="0"/>
    <n v="2"/>
    <n v="4"/>
    <n v="350126.60000000003"/>
    <n v="0"/>
    <n v="0"/>
    <n v="0"/>
    <n v="0"/>
    <n v="2"/>
    <n v="4040"/>
    <n v="0"/>
    <n v="0"/>
    <n v="354166.60000000003"/>
    <n v="0"/>
    <n v="354166.60000000003"/>
    <n v="0"/>
    <n v="0"/>
    <n v="0"/>
    <x v="14"/>
    <x v="3"/>
    <n v="2700"/>
    <n v="2416.6466666666674"/>
    <n v="24949.976266666668"/>
    <n v="329216.62373333337"/>
  </r>
  <r>
    <x v="35"/>
    <s v="12336-PREIRA/B"/>
    <x v="34"/>
    <x v="29"/>
    <s v="20/06/1977"/>
    <s v="PARIS"/>
    <x v="0"/>
    <x v="0"/>
    <x v="0"/>
    <n v="1"/>
    <n v="6"/>
    <n v="350126.60000000003"/>
    <n v="0"/>
    <n v="0"/>
    <n v="0"/>
    <n v="0"/>
    <n v="4"/>
    <n v="8080"/>
    <n v="0"/>
    <n v="0"/>
    <n v="358206.60000000003"/>
    <n v="0"/>
    <n v="358206.60000000003"/>
    <n v="0"/>
    <n v="13000"/>
    <n v="0"/>
    <x v="15"/>
    <x v="3"/>
    <n v="1800"/>
    <n v="-4704.6866666666656"/>
    <n v="30154.882933333338"/>
    <n v="328051.71706666669"/>
  </r>
  <r>
    <x v="36"/>
    <s v="12337-SAGNA/C"/>
    <x v="35"/>
    <x v="30"/>
    <d v="1978-01-11T00:00:00"/>
    <s v="ZIGUINCHOR"/>
    <x v="0"/>
    <x v="1"/>
    <x v="1"/>
    <n v="0"/>
    <n v="0"/>
    <n v="240062.05000000002"/>
    <n v="10000"/>
    <n v="0"/>
    <n v="0"/>
    <n v="0"/>
    <n v="0"/>
    <n v="0"/>
    <n v="0"/>
    <n v="0"/>
    <n v="250062.05000000002"/>
    <n v="0"/>
    <n v="250062.05000000002"/>
    <n v="3000"/>
    <n v="0"/>
    <n v="0"/>
    <x v="16"/>
    <x v="3"/>
    <n v="900"/>
    <n v="29518.615000000002"/>
    <n v="47422.089800000002"/>
    <n v="202639.96020000003"/>
  </r>
  <r>
    <x v="37"/>
    <s v="12338-SAGNA/A"/>
    <x v="36"/>
    <x v="30"/>
    <s v="24/03/1976"/>
    <s v="OUSSOUYE"/>
    <x v="0"/>
    <x v="2"/>
    <x v="1"/>
    <n v="0"/>
    <n v="0"/>
    <n v="469897.63000000006"/>
    <n v="0"/>
    <n v="0"/>
    <n v="0"/>
    <n v="0"/>
    <n v="0"/>
    <n v="0"/>
    <n v="10000"/>
    <n v="0"/>
    <n v="479897.63000000006"/>
    <n v="15000"/>
    <n v="494897.63000000006"/>
    <n v="0"/>
    <n v="10000"/>
    <n v="0"/>
    <x v="0"/>
    <x v="4"/>
    <n v="900"/>
    <n v="107297.50383333334"/>
    <n v="149875.04695333334"/>
    <n v="330022.5830466667"/>
  </r>
  <r>
    <x v="38"/>
    <s v="45639-SAMB/C"/>
    <x v="37"/>
    <x v="31"/>
    <s v="19/10/1976"/>
    <s v="RANEROU"/>
    <x v="1"/>
    <x v="1"/>
    <x v="1"/>
    <n v="0"/>
    <n v="0"/>
    <n v="240062.05000000002"/>
    <n v="0"/>
    <n v="0"/>
    <n v="0"/>
    <n v="0"/>
    <n v="0"/>
    <n v="0"/>
    <n v="0"/>
    <n v="0"/>
    <n v="240062.05000000002"/>
    <n v="0"/>
    <n v="240062.05000000002"/>
    <n v="0"/>
    <n v="0"/>
    <n v="0"/>
    <x v="3"/>
    <x v="3"/>
    <n v="900"/>
    <n v="27413.030500000004"/>
    <n v="41756.505300000004"/>
    <n v="198305.54470000003"/>
  </r>
  <r>
    <x v="39"/>
    <s v="45640-SAMB/C"/>
    <x v="38"/>
    <x v="31"/>
    <s v="16/05/1981"/>
    <s v="FATICK"/>
    <x v="1"/>
    <x v="1"/>
    <x v="1"/>
    <n v="0"/>
    <n v="0"/>
    <n v="240062.05000000002"/>
    <n v="0"/>
    <n v="8"/>
    <n v="5"/>
    <n v="0"/>
    <n v="0"/>
    <n v="5540"/>
    <n v="0"/>
    <n v="0"/>
    <n v="245602.05000000002"/>
    <n v="0"/>
    <n v="245602.05000000002"/>
    <n v="5000"/>
    <n v="0"/>
    <n v="0"/>
    <x v="5"/>
    <x v="3"/>
    <n v="900"/>
    <n v="28576.430500000006"/>
    <n v="48230.145300000004"/>
    <n v="197371.90470000001"/>
  </r>
  <r>
    <x v="40"/>
    <s v="12341-SARR/A"/>
    <x v="39"/>
    <x v="32"/>
    <s v="29/08/1997"/>
    <s v="DAKAR"/>
    <x v="0"/>
    <x v="2"/>
    <x v="1"/>
    <n v="0"/>
    <n v="1"/>
    <n v="469897.63000000006"/>
    <n v="0"/>
    <n v="0"/>
    <n v="0"/>
    <n v="0"/>
    <n v="0"/>
    <n v="0"/>
    <n v="0"/>
    <n v="0"/>
    <n v="469897.63000000006"/>
    <n v="55000"/>
    <n v="524897.63000000012"/>
    <n v="2500"/>
    <n v="0"/>
    <n v="30000"/>
    <x v="0"/>
    <x v="5"/>
    <n v="900"/>
    <n v="106017.75345000003"/>
    <n v="170855.29657000003"/>
    <n v="299042.33343"/>
  </r>
  <r>
    <x v="41"/>
    <s v="12342-SECK/C"/>
    <x v="40"/>
    <x v="33"/>
    <s v="19/04/1977"/>
    <s v="THIES"/>
    <x v="0"/>
    <x v="1"/>
    <x v="0"/>
    <n v="2"/>
    <n v="5"/>
    <n v="240062.05000000002"/>
    <n v="0"/>
    <n v="0"/>
    <n v="0"/>
    <n v="0"/>
    <n v="0"/>
    <n v="0"/>
    <n v="0"/>
    <n v="0"/>
    <n v="240062.05000000002"/>
    <n v="0"/>
    <n v="240062.05000000002"/>
    <n v="0"/>
    <n v="10000"/>
    <n v="0"/>
    <x v="3"/>
    <x v="3"/>
    <n v="2700"/>
    <n v="-39253.636166666663"/>
    <n v="-13110.16136666666"/>
    <n v="253172.21136666668"/>
  </r>
  <r>
    <x v="42"/>
    <s v="12343-SENE/C"/>
    <x v="41"/>
    <x v="34"/>
    <s v="18/06/1979"/>
    <s v="MBACKE"/>
    <x v="0"/>
    <x v="1"/>
    <x v="0"/>
    <n v="1"/>
    <n v="1"/>
    <n v="240062.05000000002"/>
    <n v="0"/>
    <n v="8"/>
    <n v="5"/>
    <n v="0"/>
    <n v="3"/>
    <n v="9695"/>
    <n v="0"/>
    <n v="20000"/>
    <n v="269757.05000000005"/>
    <n v="0"/>
    <n v="269757.05000000005"/>
    <n v="0"/>
    <n v="0"/>
    <n v="0"/>
    <x v="17"/>
    <x v="3"/>
    <n v="1800"/>
    <n v="10427.115000000011"/>
    <n v="27333.509800000014"/>
    <n v="242423.54020000005"/>
  </r>
  <r>
    <x v="43"/>
    <s v="12344-SEYDI/B"/>
    <x v="42"/>
    <x v="35"/>
    <d v="1976-08-02T00:00:00"/>
    <s v="KOLDA"/>
    <x v="0"/>
    <x v="0"/>
    <x v="0"/>
    <n v="1"/>
    <n v="1"/>
    <n v="350126.60000000003"/>
    <n v="0"/>
    <n v="0"/>
    <n v="0"/>
    <n v="0"/>
    <n v="2"/>
    <n v="4040"/>
    <n v="8500"/>
    <n v="0"/>
    <n v="362666.60000000003"/>
    <n v="0"/>
    <n v="362666.60000000003"/>
    <n v="2500"/>
    <n v="0"/>
    <n v="0"/>
    <x v="0"/>
    <x v="16"/>
    <n v="1800"/>
    <n v="38299.980000000003"/>
    <n v="71463.978400000007"/>
    <n v="291202.62160000001"/>
  </r>
  <r>
    <x v="44"/>
    <s v="45645-SOW/B"/>
    <x v="43"/>
    <x v="36"/>
    <s v="23/03/1984"/>
    <s v="CAS CAS"/>
    <x v="1"/>
    <x v="0"/>
    <x v="0"/>
    <n v="0"/>
    <n v="2"/>
    <n v="350126.60000000003"/>
    <n v="15000"/>
    <n v="0"/>
    <n v="0"/>
    <n v="0"/>
    <n v="0"/>
    <n v="0"/>
    <n v="0"/>
    <n v="0"/>
    <n v="365126.60000000003"/>
    <n v="31500"/>
    <n v="396626.60000000003"/>
    <n v="0"/>
    <n v="0"/>
    <n v="0"/>
    <x v="0"/>
    <x v="17"/>
    <n v="900"/>
    <n v="0"/>
    <n v="29823.038400000001"/>
    <n v="335303.56160000002"/>
  </r>
  <r>
    <x v="45"/>
    <s v="12346-SY/B"/>
    <x v="44"/>
    <x v="37"/>
    <s v="29/11/1984"/>
    <s v="KAFFRINE"/>
    <x v="0"/>
    <x v="0"/>
    <x v="0"/>
    <n v="1"/>
    <n v="1"/>
    <n v="350126.60000000003"/>
    <n v="0"/>
    <n v="8"/>
    <n v="5"/>
    <n v="0"/>
    <n v="4"/>
    <n v="16160"/>
    <n v="0"/>
    <n v="0"/>
    <n v="366286.60000000003"/>
    <n v="0"/>
    <n v="366286.60000000003"/>
    <n v="0"/>
    <n v="15000"/>
    <n v="0"/>
    <x v="0"/>
    <x v="18"/>
    <n v="1800"/>
    <n v="39385.980000000003"/>
    <n v="85136.858399999997"/>
    <n v="281149.74160000007"/>
  </r>
  <r>
    <x v="46"/>
    <s v="12347-TALL/B"/>
    <x v="45"/>
    <x v="38"/>
    <s v="19/07/1976"/>
    <s v="SAINT LOUIS"/>
    <x v="0"/>
    <x v="0"/>
    <x v="0"/>
    <n v="2"/>
    <n v="5"/>
    <n v="350126.60000000003"/>
    <n v="0"/>
    <n v="8"/>
    <n v="0"/>
    <n v="3"/>
    <n v="0"/>
    <n v="3636"/>
    <n v="0"/>
    <n v="0"/>
    <n v="353762.60000000003"/>
    <n v="25000"/>
    <n v="378762.60000000003"/>
    <n v="0"/>
    <n v="0"/>
    <n v="0"/>
    <x v="18"/>
    <x v="3"/>
    <n v="2700"/>
    <n v="1462.1133333333321"/>
    <n v="23972.818933333332"/>
    <n v="329789.78106666671"/>
  </r>
  <r>
    <x v="47"/>
    <s v="45648-TALL/B"/>
    <x v="46"/>
    <x v="38"/>
    <s v="29/07/1985"/>
    <s v="BAKEL"/>
    <x v="1"/>
    <x v="0"/>
    <x v="0"/>
    <n v="0"/>
    <n v="2"/>
    <n v="350126.60000000003"/>
    <n v="9500"/>
    <n v="0"/>
    <n v="0"/>
    <n v="0"/>
    <n v="0"/>
    <n v="0"/>
    <n v="5000"/>
    <n v="25000"/>
    <n v="389626.60000000003"/>
    <n v="0"/>
    <n v="389626.60000000003"/>
    <n v="3000"/>
    <n v="14500"/>
    <n v="0"/>
    <x v="0"/>
    <x v="19"/>
    <n v="900"/>
    <n v="0"/>
    <n v="47911.038400000005"/>
    <n v="341715.56160000002"/>
  </r>
  <r>
    <x v="48"/>
    <s v="12349-TAVARESE/B"/>
    <x v="47"/>
    <x v="39"/>
    <s v="23/04/1985"/>
    <s v="DAKAR"/>
    <x v="0"/>
    <x v="0"/>
    <x v="0"/>
    <n v="2"/>
    <n v="5"/>
    <n v="350126.60000000003"/>
    <n v="0"/>
    <n v="8"/>
    <n v="0"/>
    <n v="0"/>
    <n v="0"/>
    <n v="0"/>
    <n v="0"/>
    <n v="0"/>
    <n v="350126.60000000003"/>
    <n v="0"/>
    <n v="350126.60000000003"/>
    <n v="0"/>
    <n v="0"/>
    <n v="0"/>
    <x v="19"/>
    <x v="3"/>
    <n v="2700"/>
    <n v="-7128.6866666666656"/>
    <n v="15178.402933333338"/>
    <n v="334948.19706666667"/>
  </r>
  <r>
    <x v="49"/>
    <s v="12350-THIAM/B"/>
    <x v="48"/>
    <x v="40"/>
    <s v="21/12/1981"/>
    <s v="RUFISQUE"/>
    <x v="0"/>
    <x v="0"/>
    <x v="1"/>
    <n v="0"/>
    <n v="0"/>
    <n v="350126.60000000003"/>
    <n v="0"/>
    <n v="8"/>
    <n v="2"/>
    <n v="3"/>
    <n v="0"/>
    <n v="6868"/>
    <n v="7000"/>
    <n v="0"/>
    <n v="363994.60000000003"/>
    <n v="0"/>
    <n v="363994.60000000003"/>
    <n v="3000"/>
    <n v="13500"/>
    <n v="0"/>
    <x v="0"/>
    <x v="20"/>
    <n v="900"/>
    <n v="63698.380000000005"/>
    <n v="109994.2504"/>
    <n v="254000.3496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3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chartFormat="1">
  <location ref="A3:P9" firstHeaderRow="1" firstDataRow="4" firstDataCol="1"/>
  <pivotFields count="32"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axis="axisCol" showAll="0">
      <items count="4">
        <item x="2"/>
        <item x="0"/>
        <item x="1"/>
        <item t="default"/>
      </items>
    </pivotField>
    <pivotField axis="axisCol" dataField="1" showAll="0">
      <items count="3"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21">
        <item x="3"/>
        <item x="5"/>
        <item x="7"/>
        <item x="16"/>
        <item x="9"/>
        <item x="8"/>
        <item x="11"/>
        <item x="1"/>
        <item x="10"/>
        <item x="6"/>
        <item x="2"/>
        <item x="17"/>
        <item x="12"/>
        <item x="19"/>
        <item x="4"/>
        <item x="18"/>
        <item x="14"/>
        <item x="13"/>
        <item x="15"/>
        <item x="0"/>
        <item t="default"/>
      </items>
    </pivotField>
    <pivotField dataField="1" showAll="0">
      <items count="22">
        <item x="10"/>
        <item x="14"/>
        <item x="16"/>
        <item x="11"/>
        <item x="20"/>
        <item x="17"/>
        <item x="18"/>
        <item x="8"/>
        <item x="15"/>
        <item x="0"/>
        <item x="2"/>
        <item x="6"/>
        <item x="7"/>
        <item x="19"/>
        <item x="1"/>
        <item x="9"/>
        <item x="5"/>
        <item x="12"/>
        <item x="4"/>
        <item x="13"/>
        <item x="3"/>
        <item t="default"/>
      </items>
    </pivotField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Fields count="3">
    <field x="-2"/>
    <field x="8"/>
    <field x="7"/>
  </colFields>
  <colItems count="15">
    <i>
      <x/>
      <x/>
      <x/>
    </i>
    <i r="2">
      <x v="1"/>
    </i>
    <i r="2">
      <x v="2"/>
    </i>
    <i t="default" r="1">
      <x/>
    </i>
    <i i="1">
      <x v="1"/>
      <x/>
      <x/>
    </i>
    <i r="2" i="1">
      <x v="1"/>
    </i>
    <i r="2" i="1">
      <x v="2"/>
    </i>
    <i t="default" r="1" i="1">
      <x/>
    </i>
    <i i="2">
      <x v="2"/>
      <x/>
      <x/>
    </i>
    <i r="2" i="2">
      <x v="1"/>
    </i>
    <i r="2" i="2">
      <x v="2"/>
    </i>
    <i t="default" r="1" i="2">
      <x/>
    </i>
    <i t="grand">
      <x/>
    </i>
    <i t="grand" i="1">
      <x/>
    </i>
    <i t="grand" i="2">
      <x/>
    </i>
  </colItems>
  <dataFields count="3">
    <dataField name="Nombre de RG" fld="26" subtotal="count" baseField="6" baseItem="0"/>
    <dataField name="Nombre de RC" fld="27" subtotal="count" baseField="0" baseItem="0"/>
    <dataField name="Nombre de Etat_Civil" fld="8" subtotal="count" baseField="0" baseItem="0"/>
  </dataFields>
  <chartFormats count="21">
    <chartFormat chart="0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8" count="1" selected="0">
            <x v="0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8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8" count="1" selected="0">
            <x v="1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8" count="1" selected="0">
            <x v="1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8" count="1" selected="0">
            <x v="1"/>
          </reference>
        </references>
      </pivotArea>
    </chartFormat>
    <chartFormat chart="0" format="63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1"/>
          </reference>
          <reference field="8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2"/>
          </reference>
          <reference field="8" count="1" selected="0">
            <x v="0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2"/>
          </reference>
          <reference field="8" count="1" selected="0">
            <x v="1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1"/>
          </reference>
          <reference field="8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0"/>
          </reference>
          <reference field="8" count="1" selected="0">
            <x v="1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1"/>
          </reference>
          <reference field="8" count="1" selected="0">
            <x v="1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2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istes_employes" displayName="listes_employes" ref="A1:AF51" totalsRowShown="0">
  <tableColumns count="32">
    <tableColumn id="1" name="N°"/>
    <tableColumn id="2" name="Matricule"/>
    <tableColumn id="3" name="Prenom"/>
    <tableColumn id="4" name="Nom"/>
    <tableColumn id="5" name="Date_Nais"/>
    <tableColumn id="6" name="Lieu_Nais"/>
    <tableColumn id="7" name="Sexe"/>
    <tableColumn id="8" name="Categorie"/>
    <tableColumn id="9" name="Etat_Civil"/>
    <tableColumn id="10" name="Nb_Epouse"/>
    <tableColumn id="11" name="Nb_Enfants"/>
    <tableColumn id="12" name="Sal_Base"/>
    <tableColumn id="13" name="Sursalaire"/>
    <tableColumn id="14" name="HS_15"/>
    <tableColumn id="15" name="HS_40"/>
    <tableColumn id="16" name="HS_60"/>
    <tableColumn id="17" name="HS_100"/>
    <tableColumn id="18" name="Total_HS"/>
    <tableColumn id="19" name="Prime"/>
    <tableColumn id="20" name="Indemnite"/>
    <tableColumn id="21" name="SBS"/>
    <tableColumn id="22" name="Avantage"/>
    <tableColumn id="23" name="SBF"/>
    <tableColumn id="24" name="IPM"/>
    <tableColumn id="25" name="Avance_Ac"/>
    <tableColumn id="26" name="Opposition"/>
    <tableColumn id="27" name="RG"/>
    <tableColumn id="28" name="RC"/>
    <tableColumn id="29" name="TRIMF"/>
    <tableColumn id="30" name="impot_mensuel"/>
    <tableColumn id="31" name="Retenues"/>
    <tableColumn id="32" name="Sal_Net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listes_employes3" displayName="listes_employes3" ref="A1:O52" totalsRowShown="0">
  <tableColumns count="15">
    <tableColumn id="3" name="Prenom"/>
    <tableColumn id="4" name="Nom"/>
    <tableColumn id="19" name="Prime"/>
    <tableColumn id="20" name="Indemnite"/>
    <tableColumn id="21" name="SBS"/>
    <tableColumn id="24" name="IPM"/>
    <tableColumn id="25" name="Avance_Ac"/>
    <tableColumn id="26" name="Opposition"/>
    <tableColumn id="27" name="RG"/>
    <tableColumn id="28" name="RC"/>
    <tableColumn id="29" name="TRIMF"/>
    <tableColumn id="30" name="impot_mensuel"/>
    <tableColumn id="31" name="Retenues"/>
    <tableColumn id="32" name="Sal_Net"/>
    <tableColumn id="1" name="Colonne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"/>
  <sheetViews>
    <sheetView tabSelected="1" workbookViewId="0">
      <selection activeCell="D18" sqref="D18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4" r:id="rId3" name="CommandButton6">
          <controlPr defaultSize="0" autoLine="0" autoPict="0" r:id="rId4">
            <anchor moveWithCells="1">
              <from>
                <xdr:col>6</xdr:col>
                <xdr:colOff>304800</xdr:colOff>
                <xdr:row>18</xdr:row>
                <xdr:rowOff>19050</xdr:rowOff>
              </from>
              <to>
                <xdr:col>10</xdr:col>
                <xdr:colOff>352425</xdr:colOff>
                <xdr:row>21</xdr:row>
                <xdr:rowOff>0</xdr:rowOff>
              </to>
            </anchor>
          </controlPr>
        </control>
      </mc:Choice>
      <mc:Fallback>
        <control shapeId="2054" r:id="rId3" name="CommandButton6"/>
      </mc:Fallback>
    </mc:AlternateContent>
    <mc:AlternateContent xmlns:mc="http://schemas.openxmlformats.org/markup-compatibility/2006">
      <mc:Choice Requires="x14">
        <control shapeId="2053" r:id="rId5" name="CommandButton5">
          <controlPr defaultSize="0" autoLine="0" r:id="rId6">
            <anchor moveWithCells="1">
              <from>
                <xdr:col>6</xdr:col>
                <xdr:colOff>304800</xdr:colOff>
                <xdr:row>12</xdr:row>
                <xdr:rowOff>76200</xdr:rowOff>
              </from>
              <to>
                <xdr:col>10</xdr:col>
                <xdr:colOff>333375</xdr:colOff>
                <xdr:row>15</xdr:row>
                <xdr:rowOff>47625</xdr:rowOff>
              </to>
            </anchor>
          </controlPr>
        </control>
      </mc:Choice>
      <mc:Fallback>
        <control shapeId="2053" r:id="rId5" name="CommandButton5"/>
      </mc:Fallback>
    </mc:AlternateContent>
    <mc:AlternateContent xmlns:mc="http://schemas.openxmlformats.org/markup-compatibility/2006">
      <mc:Choice Requires="x14">
        <control shapeId="2052" r:id="rId7" name="CommandButton4">
          <controlPr defaultSize="0" autoLine="0" autoPict="0" r:id="rId8">
            <anchor moveWithCells="1">
              <from>
                <xdr:col>1</xdr:col>
                <xdr:colOff>114300</xdr:colOff>
                <xdr:row>18</xdr:row>
                <xdr:rowOff>76200</xdr:rowOff>
              </from>
              <to>
                <xdr:col>4</xdr:col>
                <xdr:colOff>581025</xdr:colOff>
                <xdr:row>21</xdr:row>
                <xdr:rowOff>47625</xdr:rowOff>
              </to>
            </anchor>
          </controlPr>
        </control>
      </mc:Choice>
      <mc:Fallback>
        <control shapeId="2052" r:id="rId7" name="CommandButton4"/>
      </mc:Fallback>
    </mc:AlternateContent>
    <mc:AlternateContent xmlns:mc="http://schemas.openxmlformats.org/markup-compatibility/2006">
      <mc:Choice Requires="x14">
        <control shapeId="2051" r:id="rId9" name="CommandButton3">
          <controlPr defaultSize="0" autoLine="0" autoPict="0" r:id="rId10">
            <anchor moveWithCells="1">
              <from>
                <xdr:col>1</xdr:col>
                <xdr:colOff>85725</xdr:colOff>
                <xdr:row>12</xdr:row>
                <xdr:rowOff>76200</xdr:rowOff>
              </from>
              <to>
                <xdr:col>4</xdr:col>
                <xdr:colOff>561975</xdr:colOff>
                <xdr:row>15</xdr:row>
                <xdr:rowOff>57150</xdr:rowOff>
              </to>
            </anchor>
          </controlPr>
        </control>
      </mc:Choice>
      <mc:Fallback>
        <control shapeId="2051" r:id="rId9" name="CommandButton3"/>
      </mc:Fallback>
    </mc:AlternateContent>
    <mc:AlternateContent xmlns:mc="http://schemas.openxmlformats.org/markup-compatibility/2006">
      <mc:Choice Requires="x14">
        <control shapeId="2050" r:id="rId11" name="CommandButton2">
          <controlPr defaultSize="0" autoLine="0" autoPict="0" r:id="rId12">
            <anchor moveWithCells="1">
              <from>
                <xdr:col>6</xdr:col>
                <xdr:colOff>304800</xdr:colOff>
                <xdr:row>5</xdr:row>
                <xdr:rowOff>180975</xdr:rowOff>
              </from>
              <to>
                <xdr:col>10</xdr:col>
                <xdr:colOff>276225</xdr:colOff>
                <xdr:row>8</xdr:row>
                <xdr:rowOff>180975</xdr:rowOff>
              </to>
            </anchor>
          </controlPr>
        </control>
      </mc:Choice>
      <mc:Fallback>
        <control shapeId="2050" r:id="rId11" name="CommandButton2"/>
      </mc:Fallback>
    </mc:AlternateContent>
    <mc:AlternateContent xmlns:mc="http://schemas.openxmlformats.org/markup-compatibility/2006">
      <mc:Choice Requires="x14">
        <control shapeId="2049" r:id="rId13" name="CommandButton1">
          <controlPr defaultSize="0" autoLine="0" autoPict="0" r:id="rId14">
            <anchor moveWithCells="1">
              <from>
                <xdr:col>1</xdr:col>
                <xdr:colOff>76200</xdr:colOff>
                <xdr:row>6</xdr:row>
                <xdr:rowOff>0</xdr:rowOff>
              </from>
              <to>
                <xdr:col>4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2049" r:id="rId1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P9"/>
  <sheetViews>
    <sheetView topLeftCell="B10" workbookViewId="0">
      <selection activeCell="M31" sqref="M31"/>
    </sheetView>
  </sheetViews>
  <sheetFormatPr baseColWidth="10" defaultRowHeight="15" x14ac:dyDescent="0.25"/>
  <cols>
    <col min="1" max="1" width="21" bestFit="1" customWidth="1"/>
    <col min="2" max="2" width="23.85546875" customWidth="1"/>
    <col min="3" max="4" width="2.140625" customWidth="1"/>
    <col min="5" max="5" width="15.28515625" customWidth="1"/>
    <col min="6" max="6" width="13.7109375" customWidth="1"/>
    <col min="7" max="8" width="2.140625" customWidth="1"/>
    <col min="9" max="9" width="15.28515625" customWidth="1"/>
    <col min="10" max="10" width="19.85546875" customWidth="1"/>
    <col min="11" max="12" width="2.140625" customWidth="1"/>
    <col min="13" max="13" width="15.28515625" customWidth="1"/>
    <col min="14" max="14" width="19" customWidth="1"/>
    <col min="15" max="15" width="18.7109375" customWidth="1"/>
    <col min="16" max="16" width="24.85546875" customWidth="1"/>
    <col min="17" max="17" width="11" customWidth="1"/>
    <col min="18" max="18" width="19.85546875" customWidth="1"/>
    <col min="19" max="20" width="2.140625" customWidth="1"/>
    <col min="21" max="21" width="15.28515625" customWidth="1"/>
    <col min="22" max="22" width="8" customWidth="1"/>
    <col min="23" max="23" width="3" customWidth="1"/>
    <col min="24" max="24" width="2.140625" customWidth="1"/>
    <col min="25" max="25" width="11" customWidth="1"/>
    <col min="26" max="26" width="19" customWidth="1"/>
    <col min="27" max="27" width="18.7109375" customWidth="1"/>
    <col min="28" max="28" width="24.85546875" customWidth="1"/>
    <col min="29" max="29" width="12.85546875" customWidth="1"/>
    <col min="30" max="30" width="15.42578125" customWidth="1"/>
    <col min="31" max="31" width="12.85546875" customWidth="1"/>
    <col min="32" max="32" width="15.42578125" customWidth="1"/>
    <col min="33" max="33" width="12.85546875" customWidth="1"/>
    <col min="34" max="34" width="15.42578125" customWidth="1"/>
    <col min="35" max="35" width="12.85546875" customWidth="1"/>
    <col min="36" max="36" width="15.42578125" customWidth="1"/>
    <col min="37" max="37" width="12.85546875" customWidth="1"/>
    <col min="38" max="38" width="15.42578125" customWidth="1"/>
    <col min="39" max="39" width="12.85546875" customWidth="1"/>
    <col min="40" max="40" width="15.42578125" customWidth="1"/>
    <col min="41" max="41" width="10.42578125" customWidth="1"/>
    <col min="42" max="42" width="6.140625" customWidth="1"/>
    <col min="43" max="43" width="10.85546875" customWidth="1"/>
    <col min="44" max="44" width="13.7109375" customWidth="1"/>
    <col min="45" max="45" width="6.140625" customWidth="1"/>
    <col min="46" max="46" width="15.42578125" customWidth="1"/>
    <col min="47" max="47" width="12.85546875" customWidth="1"/>
    <col min="48" max="48" width="15.42578125" customWidth="1"/>
    <col min="49" max="49" width="12.85546875" customWidth="1"/>
    <col min="50" max="50" width="15.42578125" customWidth="1"/>
    <col min="51" max="51" width="12.85546875" customWidth="1"/>
    <col min="52" max="52" width="15.42578125" customWidth="1"/>
    <col min="53" max="53" width="12.85546875" customWidth="1"/>
    <col min="54" max="54" width="15.42578125" customWidth="1"/>
    <col min="55" max="55" width="12.85546875" customWidth="1"/>
    <col min="56" max="56" width="15.42578125" customWidth="1"/>
    <col min="57" max="57" width="12.85546875" customWidth="1"/>
    <col min="58" max="58" width="15.42578125" customWidth="1"/>
    <col min="59" max="59" width="12.85546875" customWidth="1"/>
    <col min="60" max="60" width="15.42578125" customWidth="1"/>
    <col min="61" max="61" width="12.85546875" customWidth="1"/>
    <col min="62" max="62" width="15.42578125" customWidth="1"/>
    <col min="63" max="63" width="12.85546875" customWidth="1"/>
    <col min="64" max="64" width="15.42578125" customWidth="1"/>
    <col min="65" max="65" width="12.85546875" customWidth="1"/>
    <col min="66" max="66" width="15.42578125" customWidth="1"/>
    <col min="67" max="67" width="12.85546875" customWidth="1"/>
    <col min="68" max="68" width="15.42578125" customWidth="1"/>
    <col min="69" max="69" width="12.85546875" customWidth="1"/>
    <col min="70" max="70" width="15.42578125" bestFit="1" customWidth="1"/>
    <col min="71" max="71" width="12.85546875" bestFit="1" customWidth="1"/>
    <col min="72" max="72" width="15.42578125" customWidth="1"/>
    <col min="73" max="73" width="12.85546875" customWidth="1"/>
    <col min="74" max="74" width="15.42578125" customWidth="1"/>
    <col min="75" max="75" width="12.85546875" customWidth="1"/>
    <col min="76" max="76" width="15.42578125" customWidth="1"/>
    <col min="77" max="77" width="12.85546875" customWidth="1"/>
    <col min="78" max="78" width="15.42578125" customWidth="1"/>
    <col min="79" max="79" width="12.85546875" customWidth="1"/>
    <col min="80" max="80" width="15.42578125" customWidth="1"/>
    <col min="81" max="81" width="12.85546875" customWidth="1"/>
    <col min="82" max="82" width="15.42578125" customWidth="1"/>
    <col min="83" max="83" width="10.42578125" customWidth="1"/>
    <col min="84" max="84" width="6.140625" customWidth="1"/>
    <col min="85" max="85" width="10.85546875" customWidth="1"/>
    <col min="86" max="86" width="19.85546875" customWidth="1"/>
    <col min="87" max="87" width="6.140625" customWidth="1"/>
    <col min="88" max="88" width="15.42578125" customWidth="1"/>
    <col min="89" max="89" width="12.85546875" customWidth="1"/>
    <col min="90" max="90" width="15.42578125" customWidth="1"/>
    <col min="91" max="91" width="12.85546875" customWidth="1"/>
    <col min="92" max="92" width="15.42578125" customWidth="1"/>
    <col min="93" max="93" width="12.85546875" customWidth="1"/>
    <col min="94" max="94" width="15.42578125" customWidth="1"/>
    <col min="95" max="95" width="12.85546875" customWidth="1"/>
    <col min="96" max="96" width="15.42578125" customWidth="1"/>
    <col min="97" max="97" width="12.85546875" customWidth="1"/>
    <col min="98" max="98" width="15.42578125" customWidth="1"/>
    <col min="99" max="99" width="12.85546875" customWidth="1"/>
    <col min="100" max="100" width="15.42578125" customWidth="1"/>
    <col min="101" max="101" width="12.85546875" customWidth="1"/>
    <col min="102" max="102" width="15.42578125" customWidth="1"/>
    <col min="103" max="103" width="12.85546875" customWidth="1"/>
    <col min="104" max="104" width="15.42578125" customWidth="1"/>
    <col min="105" max="105" width="12.85546875" customWidth="1"/>
    <col min="106" max="106" width="15.42578125" customWidth="1"/>
    <col min="107" max="107" width="12.85546875" customWidth="1"/>
    <col min="108" max="108" width="15.42578125" customWidth="1"/>
    <col min="109" max="109" width="12.85546875" customWidth="1"/>
    <col min="110" max="110" width="15.42578125" customWidth="1"/>
    <col min="111" max="111" width="12.85546875" customWidth="1"/>
    <col min="112" max="112" width="15.42578125" customWidth="1"/>
    <col min="113" max="113" width="12.85546875" customWidth="1"/>
    <col min="114" max="114" width="15.42578125" customWidth="1"/>
    <col min="115" max="115" width="12.85546875" customWidth="1"/>
    <col min="116" max="116" width="15.42578125" customWidth="1"/>
    <col min="117" max="117" width="12.85546875" customWidth="1"/>
    <col min="118" max="118" width="15.42578125" customWidth="1"/>
    <col min="119" max="119" width="12.85546875" customWidth="1"/>
    <col min="120" max="120" width="15.42578125" customWidth="1"/>
    <col min="121" max="121" width="12.85546875" customWidth="1"/>
    <col min="122" max="122" width="15.42578125" customWidth="1"/>
    <col min="123" max="123" width="12.85546875" customWidth="1"/>
    <col min="124" max="124" width="15.42578125" customWidth="1"/>
    <col min="125" max="125" width="10.42578125" customWidth="1"/>
    <col min="126" max="126" width="6.140625" customWidth="1"/>
    <col min="127" max="127" width="10.85546875" customWidth="1"/>
    <col min="128" max="128" width="20.140625" customWidth="1"/>
    <col min="129" max="129" width="6.140625" customWidth="1"/>
    <col min="130" max="130" width="15.42578125" customWidth="1"/>
    <col min="131" max="131" width="12.85546875" customWidth="1"/>
    <col min="132" max="132" width="15.42578125" customWidth="1"/>
    <col min="133" max="133" width="12.85546875" customWidth="1"/>
    <col min="134" max="134" width="15.42578125" customWidth="1"/>
    <col min="135" max="135" width="12.85546875" customWidth="1"/>
    <col min="136" max="136" width="15.42578125" customWidth="1"/>
    <col min="137" max="137" width="12.85546875" customWidth="1"/>
    <col min="138" max="138" width="15.42578125" customWidth="1"/>
    <col min="139" max="139" width="12.85546875" customWidth="1"/>
    <col min="140" max="140" width="15.42578125" customWidth="1"/>
    <col min="141" max="141" width="12.85546875" customWidth="1"/>
    <col min="142" max="142" width="15.42578125" customWidth="1"/>
    <col min="143" max="143" width="12.85546875" customWidth="1"/>
    <col min="144" max="144" width="15.42578125" bestFit="1" customWidth="1"/>
    <col min="145" max="145" width="12.85546875" bestFit="1" customWidth="1"/>
    <col min="146" max="146" width="15.42578125" customWidth="1"/>
    <col min="147" max="147" width="12.85546875" customWidth="1"/>
    <col min="148" max="148" width="15.42578125" customWidth="1"/>
    <col min="149" max="149" width="12.85546875" customWidth="1"/>
    <col min="150" max="150" width="15.42578125" customWidth="1"/>
    <col min="151" max="151" width="12.85546875" customWidth="1"/>
    <col min="152" max="152" width="15.42578125" customWidth="1"/>
    <col min="153" max="153" width="12.85546875" customWidth="1"/>
    <col min="154" max="154" width="15.42578125" customWidth="1"/>
    <col min="155" max="155" width="12.85546875" customWidth="1"/>
    <col min="156" max="156" width="15.42578125" bestFit="1" customWidth="1"/>
    <col min="157" max="157" width="12.85546875" bestFit="1" customWidth="1"/>
    <col min="158" max="158" width="15.42578125" customWidth="1"/>
    <col min="159" max="159" width="12.85546875" customWidth="1"/>
    <col min="160" max="160" width="15.42578125" customWidth="1"/>
    <col min="161" max="161" width="12.85546875" customWidth="1"/>
    <col min="162" max="162" width="15.42578125" customWidth="1"/>
    <col min="163" max="163" width="12.85546875" customWidth="1"/>
    <col min="164" max="164" width="15.42578125" customWidth="1"/>
    <col min="165" max="165" width="12.85546875" customWidth="1"/>
    <col min="166" max="166" width="15.42578125" customWidth="1"/>
    <col min="167" max="167" width="10.42578125" customWidth="1"/>
    <col min="168" max="168" width="6.140625" customWidth="1"/>
    <col min="169" max="169" width="10.85546875" customWidth="1"/>
    <col min="170" max="170" width="19" customWidth="1"/>
    <col min="171" max="171" width="18.7109375" customWidth="1"/>
    <col min="172" max="172" width="24.85546875" customWidth="1"/>
    <col min="173" max="173" width="25.140625" customWidth="1"/>
    <col min="174" max="174" width="15.42578125" customWidth="1"/>
    <col min="175" max="175" width="12.85546875" customWidth="1"/>
    <col min="176" max="176" width="7" customWidth="1"/>
    <col min="177" max="177" width="15.42578125" customWidth="1"/>
    <col min="178" max="178" width="12.85546875" customWidth="1"/>
    <col min="179" max="179" width="7" customWidth="1"/>
    <col min="180" max="180" width="15.42578125" bestFit="1" customWidth="1"/>
    <col min="181" max="181" width="12.85546875" bestFit="1" customWidth="1"/>
    <col min="182" max="182" width="7" customWidth="1"/>
    <col min="183" max="183" width="15.42578125" customWidth="1"/>
    <col min="184" max="184" width="12.85546875" customWidth="1"/>
    <col min="185" max="185" width="7" customWidth="1"/>
    <col min="186" max="186" width="15.42578125" customWidth="1"/>
    <col min="187" max="187" width="12.85546875" customWidth="1"/>
    <col min="188" max="188" width="7" customWidth="1"/>
    <col min="189" max="189" width="15.42578125" customWidth="1"/>
    <col min="190" max="190" width="10.42578125" customWidth="1"/>
    <col min="191" max="191" width="6.140625" customWidth="1"/>
    <col min="192" max="192" width="7.140625" customWidth="1"/>
    <col min="193" max="193" width="10.42578125" customWidth="1"/>
    <col min="194" max="194" width="6.140625" customWidth="1"/>
    <col min="195" max="195" width="7" customWidth="1"/>
    <col min="196" max="196" width="10.85546875" customWidth="1"/>
    <col min="197" max="197" width="20.140625" customWidth="1"/>
    <col min="198" max="198" width="6.140625" customWidth="1"/>
    <col min="199" max="199" width="7" customWidth="1"/>
    <col min="200" max="200" width="15.42578125" bestFit="1" customWidth="1"/>
    <col min="201" max="201" width="12.85546875" customWidth="1"/>
    <col min="202" max="202" width="7" customWidth="1"/>
    <col min="203" max="203" width="15.42578125" customWidth="1"/>
    <col min="204" max="204" width="12.85546875" customWidth="1"/>
    <col min="205" max="205" width="7" customWidth="1"/>
    <col min="206" max="206" width="15.42578125" customWidth="1"/>
    <col min="207" max="207" width="12.85546875" customWidth="1"/>
    <col min="208" max="208" width="7" customWidth="1"/>
    <col min="209" max="209" width="15.42578125" customWidth="1"/>
    <col min="210" max="210" width="12.85546875" customWidth="1"/>
    <col min="211" max="211" width="7" customWidth="1"/>
    <col min="212" max="212" width="15.42578125" customWidth="1"/>
    <col min="213" max="213" width="12.85546875" customWidth="1"/>
    <col min="214" max="214" width="7" customWidth="1"/>
    <col min="215" max="215" width="15.42578125" customWidth="1"/>
    <col min="216" max="216" width="12.85546875" customWidth="1"/>
    <col min="217" max="217" width="7" customWidth="1"/>
    <col min="218" max="218" width="15.42578125" customWidth="1"/>
    <col min="219" max="219" width="12.85546875" customWidth="1"/>
    <col min="220" max="220" width="7" customWidth="1"/>
    <col min="221" max="221" width="15.42578125" customWidth="1"/>
    <col min="222" max="222" width="12.85546875" customWidth="1"/>
    <col min="223" max="223" width="7" customWidth="1"/>
    <col min="224" max="224" width="15.42578125" customWidth="1"/>
    <col min="225" max="225" width="12.85546875" customWidth="1"/>
    <col min="226" max="226" width="7" customWidth="1"/>
    <col min="227" max="227" width="15.42578125" customWidth="1"/>
    <col min="228" max="228" width="12.85546875" customWidth="1"/>
    <col min="229" max="229" width="7" customWidth="1"/>
    <col min="230" max="230" width="15.42578125" customWidth="1"/>
    <col min="231" max="231" width="12.85546875" customWidth="1"/>
    <col min="232" max="232" width="7" customWidth="1"/>
    <col min="233" max="233" width="15.42578125" customWidth="1"/>
    <col min="234" max="234" width="12.85546875" customWidth="1"/>
    <col min="235" max="235" width="7" customWidth="1"/>
    <col min="236" max="236" width="15.42578125" customWidth="1"/>
    <col min="237" max="237" width="12.85546875" customWidth="1"/>
    <col min="238" max="238" width="7" customWidth="1"/>
    <col min="239" max="239" width="15.42578125" customWidth="1"/>
    <col min="240" max="240" width="12.85546875" customWidth="1"/>
    <col min="241" max="241" width="7" customWidth="1"/>
    <col min="242" max="242" width="15.42578125" customWidth="1"/>
    <col min="243" max="243" width="12.85546875" customWidth="1"/>
    <col min="244" max="244" width="7" customWidth="1"/>
    <col min="245" max="245" width="15.42578125" customWidth="1"/>
    <col min="246" max="246" width="12.85546875" customWidth="1"/>
    <col min="247" max="247" width="7" customWidth="1"/>
    <col min="248" max="248" width="15.42578125" customWidth="1"/>
    <col min="249" max="249" width="12.85546875" customWidth="1"/>
    <col min="250" max="250" width="7" customWidth="1"/>
    <col min="251" max="251" width="15.42578125" customWidth="1"/>
    <col min="252" max="252" width="12.85546875" customWidth="1"/>
    <col min="253" max="253" width="7" customWidth="1"/>
    <col min="254" max="254" width="15.42578125" bestFit="1" customWidth="1"/>
    <col min="255" max="255" width="10.42578125" customWidth="1"/>
    <col min="256" max="256" width="6.140625" customWidth="1"/>
    <col min="257" max="257" width="7.140625" customWidth="1"/>
    <col min="258" max="258" width="10.42578125" customWidth="1"/>
    <col min="259" max="259" width="6.140625" customWidth="1"/>
    <col min="260" max="260" width="7" customWidth="1"/>
    <col min="261" max="261" width="10.85546875" customWidth="1"/>
    <col min="262" max="262" width="19" customWidth="1"/>
    <col min="263" max="263" width="18.7109375" customWidth="1"/>
    <col min="264" max="264" width="24.85546875" customWidth="1"/>
    <col min="265" max="265" width="25.140625" customWidth="1"/>
    <col min="266" max="266" width="15.42578125" bestFit="1" customWidth="1"/>
    <col min="267" max="267" width="12.85546875" bestFit="1" customWidth="1"/>
    <col min="268" max="268" width="11.140625" customWidth="1"/>
    <col min="269" max="269" width="7" customWidth="1"/>
    <col min="270" max="270" width="15.42578125" bestFit="1" customWidth="1"/>
    <col min="271" max="271" width="12.85546875" bestFit="1" customWidth="1"/>
    <col min="272" max="272" width="11.140625" customWidth="1"/>
    <col min="273" max="273" width="7" customWidth="1"/>
    <col min="274" max="274" width="15.42578125" bestFit="1" customWidth="1"/>
    <col min="275" max="275" width="12.85546875" bestFit="1" customWidth="1"/>
    <col min="276" max="276" width="11.140625" customWidth="1"/>
    <col min="277" max="277" width="7" customWidth="1"/>
    <col min="278" max="278" width="15.42578125" bestFit="1" customWidth="1"/>
    <col min="279" max="279" width="12.85546875" bestFit="1" customWidth="1"/>
    <col min="280" max="280" width="11.140625" customWidth="1"/>
    <col min="281" max="281" width="7" customWidth="1"/>
    <col min="282" max="282" width="15.42578125" bestFit="1" customWidth="1"/>
    <col min="283" max="283" width="12.85546875" bestFit="1" customWidth="1"/>
    <col min="284" max="284" width="11.140625" customWidth="1"/>
    <col min="285" max="285" width="7" customWidth="1"/>
    <col min="286" max="286" width="15.42578125" bestFit="1" customWidth="1"/>
    <col min="287" max="287" width="12.85546875" bestFit="1" customWidth="1"/>
    <col min="288" max="288" width="11.140625" customWidth="1"/>
    <col min="289" max="289" width="7" customWidth="1"/>
    <col min="290" max="290" width="15.42578125" bestFit="1" customWidth="1"/>
    <col min="291" max="291" width="12.85546875" bestFit="1" customWidth="1"/>
    <col min="292" max="292" width="11.140625" customWidth="1"/>
    <col min="293" max="293" width="7" customWidth="1"/>
    <col min="294" max="294" width="15.42578125" bestFit="1" customWidth="1"/>
    <col min="295" max="295" width="12.85546875" bestFit="1" customWidth="1"/>
    <col min="296" max="296" width="11.140625" customWidth="1"/>
    <col min="297" max="297" width="7" customWidth="1"/>
    <col min="298" max="298" width="15.42578125" bestFit="1" customWidth="1"/>
    <col min="299" max="299" width="12.85546875" bestFit="1" customWidth="1"/>
    <col min="300" max="300" width="11.140625" customWidth="1"/>
    <col min="301" max="301" width="7" customWidth="1"/>
    <col min="302" max="302" width="15.42578125" bestFit="1" customWidth="1"/>
    <col min="303" max="303" width="12.85546875" bestFit="1" customWidth="1"/>
    <col min="304" max="304" width="11.140625" customWidth="1"/>
    <col min="305" max="305" width="7" customWidth="1"/>
    <col min="306" max="306" width="15.42578125" bestFit="1" customWidth="1"/>
    <col min="307" max="307" width="12.85546875" bestFit="1" customWidth="1"/>
    <col min="308" max="308" width="11.140625" customWidth="1"/>
    <col min="309" max="309" width="7" customWidth="1"/>
    <col min="310" max="310" width="15.42578125" bestFit="1" customWidth="1"/>
    <col min="311" max="311" width="12.85546875" bestFit="1" customWidth="1"/>
    <col min="312" max="312" width="11.140625" customWidth="1"/>
    <col min="313" max="313" width="7" customWidth="1"/>
    <col min="314" max="314" width="15.42578125" bestFit="1" customWidth="1"/>
    <col min="315" max="315" width="12.85546875" bestFit="1" customWidth="1"/>
    <col min="316" max="316" width="11.140625" customWidth="1"/>
    <col min="317" max="317" width="7" customWidth="1"/>
    <col min="318" max="318" width="15.42578125" bestFit="1" customWidth="1"/>
    <col min="319" max="319" width="12.85546875" bestFit="1" customWidth="1"/>
    <col min="320" max="320" width="11.140625" customWidth="1"/>
    <col min="321" max="321" width="7" customWidth="1"/>
    <col min="322" max="322" width="15.42578125" bestFit="1" customWidth="1"/>
    <col min="323" max="323" width="13.85546875" bestFit="1" customWidth="1"/>
    <col min="324" max="324" width="6.140625" customWidth="1"/>
    <col min="325" max="325" width="16.5703125" bestFit="1" customWidth="1"/>
    <col min="326" max="326" width="13.85546875" bestFit="1" customWidth="1"/>
    <col min="327" max="327" width="16.5703125" bestFit="1" customWidth="1"/>
    <col min="328" max="328" width="13.85546875" bestFit="1" customWidth="1"/>
    <col min="329" max="329" width="6.140625" customWidth="1"/>
    <col min="330" max="330" width="16.5703125" bestFit="1" customWidth="1"/>
    <col min="331" max="331" width="13.85546875" bestFit="1" customWidth="1"/>
    <col min="332" max="332" width="16.5703125" bestFit="1" customWidth="1"/>
    <col min="333" max="333" width="7.140625" customWidth="1"/>
    <col min="334" max="334" width="11.85546875" bestFit="1" customWidth="1"/>
    <col min="335" max="335" width="14.42578125" bestFit="1" customWidth="1"/>
    <col min="336" max="336" width="11.85546875" bestFit="1" customWidth="1"/>
    <col min="337" max="337" width="14.42578125" bestFit="1" customWidth="1"/>
    <col min="338" max="338" width="11.85546875" bestFit="1" customWidth="1"/>
    <col min="339" max="339" width="14.42578125" bestFit="1" customWidth="1"/>
    <col min="340" max="340" width="11.85546875" bestFit="1" customWidth="1"/>
    <col min="341" max="341" width="14.42578125" bestFit="1" customWidth="1"/>
    <col min="342" max="342" width="11.85546875" bestFit="1" customWidth="1"/>
    <col min="343" max="343" width="14.42578125" bestFit="1" customWidth="1"/>
    <col min="344" max="344" width="11.85546875" bestFit="1" customWidth="1"/>
    <col min="345" max="345" width="14.42578125" bestFit="1" customWidth="1"/>
    <col min="346" max="346" width="11.85546875" bestFit="1" customWidth="1"/>
    <col min="347" max="347" width="14.42578125" bestFit="1" customWidth="1"/>
    <col min="348" max="348" width="11.85546875" bestFit="1" customWidth="1"/>
    <col min="349" max="349" width="14.42578125" bestFit="1" customWidth="1"/>
    <col min="350" max="350" width="11.85546875" bestFit="1" customWidth="1"/>
    <col min="351" max="351" width="14.42578125" bestFit="1" customWidth="1"/>
    <col min="352" max="352" width="11.85546875" bestFit="1" customWidth="1"/>
    <col min="353" max="353" width="14.42578125" bestFit="1" customWidth="1"/>
    <col min="354" max="354" width="11.85546875" bestFit="1" customWidth="1"/>
    <col min="355" max="355" width="14.42578125" bestFit="1" customWidth="1"/>
    <col min="356" max="356" width="11.85546875" bestFit="1" customWidth="1"/>
    <col min="357" max="357" width="14.42578125" bestFit="1" customWidth="1"/>
    <col min="358" max="358" width="11.85546875" bestFit="1" customWidth="1"/>
    <col min="359" max="359" width="14.42578125" bestFit="1" customWidth="1"/>
    <col min="360" max="360" width="11.85546875" bestFit="1" customWidth="1"/>
    <col min="361" max="361" width="14.42578125" bestFit="1" customWidth="1"/>
    <col min="362" max="362" width="11.85546875" bestFit="1" customWidth="1"/>
    <col min="363" max="363" width="14.42578125" bestFit="1" customWidth="1"/>
    <col min="364" max="364" width="11.85546875" bestFit="1" customWidth="1"/>
    <col min="365" max="365" width="14.42578125" bestFit="1" customWidth="1"/>
    <col min="366" max="366" width="7" customWidth="1"/>
    <col min="367" max="367" width="10.85546875" customWidth="1"/>
    <col min="368" max="368" width="20.140625" bestFit="1" customWidth="1"/>
    <col min="369" max="369" width="6.140625" customWidth="1"/>
    <col min="370" max="370" width="11.140625" customWidth="1"/>
    <col min="371" max="371" width="7" customWidth="1"/>
    <col min="372" max="372" width="15.42578125" bestFit="1" customWidth="1"/>
    <col min="373" max="373" width="12.85546875" bestFit="1" customWidth="1"/>
    <col min="374" max="374" width="11.140625" customWidth="1"/>
    <col min="375" max="375" width="7" customWidth="1"/>
    <col min="376" max="376" width="15.42578125" bestFit="1" customWidth="1"/>
    <col min="377" max="377" width="12.85546875" bestFit="1" customWidth="1"/>
    <col min="378" max="378" width="11.140625" customWidth="1"/>
    <col min="379" max="379" width="7" customWidth="1"/>
    <col min="380" max="380" width="15.42578125" bestFit="1" customWidth="1"/>
    <col min="381" max="381" width="12.85546875" bestFit="1" customWidth="1"/>
    <col min="382" max="382" width="11.140625" customWidth="1"/>
    <col min="383" max="383" width="7" customWidth="1"/>
    <col min="384" max="384" width="15.42578125" bestFit="1" customWidth="1"/>
    <col min="385" max="385" width="12.85546875" bestFit="1" customWidth="1"/>
    <col min="386" max="386" width="11.140625" customWidth="1"/>
    <col min="387" max="387" width="7" customWidth="1"/>
    <col min="388" max="388" width="15.42578125" bestFit="1" customWidth="1"/>
    <col min="389" max="389" width="12.85546875" bestFit="1" customWidth="1"/>
    <col min="390" max="390" width="11.140625" customWidth="1"/>
    <col min="391" max="391" width="7" customWidth="1"/>
    <col min="392" max="392" width="15.42578125" bestFit="1" customWidth="1"/>
    <col min="393" max="393" width="12.85546875" bestFit="1" customWidth="1"/>
    <col min="394" max="394" width="11.140625" customWidth="1"/>
    <col min="395" max="395" width="7" customWidth="1"/>
    <col min="396" max="396" width="15.42578125" bestFit="1" customWidth="1"/>
    <col min="397" max="397" width="12.85546875" bestFit="1" customWidth="1"/>
    <col min="398" max="398" width="11.140625" customWidth="1"/>
    <col min="399" max="399" width="7" customWidth="1"/>
    <col min="400" max="400" width="15.42578125" bestFit="1" customWidth="1"/>
    <col min="401" max="401" width="12.85546875" bestFit="1" customWidth="1"/>
    <col min="402" max="402" width="11.140625" customWidth="1"/>
    <col min="403" max="403" width="7" customWidth="1"/>
    <col min="404" max="404" width="15.42578125" bestFit="1" customWidth="1"/>
    <col min="405" max="405" width="12.85546875" bestFit="1" customWidth="1"/>
    <col min="406" max="406" width="11.140625" customWidth="1"/>
    <col min="407" max="407" width="7" customWidth="1"/>
    <col min="408" max="408" width="15.42578125" bestFit="1" customWidth="1"/>
    <col min="409" max="409" width="12.85546875" bestFit="1" customWidth="1"/>
    <col min="410" max="410" width="11.140625" customWidth="1"/>
    <col min="411" max="411" width="7" customWidth="1"/>
    <col min="412" max="412" width="15.42578125" bestFit="1" customWidth="1"/>
    <col min="413" max="413" width="12.85546875" bestFit="1" customWidth="1"/>
    <col min="414" max="414" width="11.140625" customWidth="1"/>
    <col min="415" max="415" width="7" customWidth="1"/>
    <col min="416" max="416" width="15.42578125" bestFit="1" customWidth="1"/>
    <col min="417" max="417" width="12.85546875" bestFit="1" customWidth="1"/>
    <col min="418" max="418" width="11.140625" customWidth="1"/>
    <col min="419" max="419" width="7" customWidth="1"/>
    <col min="420" max="420" width="15.42578125" bestFit="1" customWidth="1"/>
    <col min="421" max="421" width="12.85546875" bestFit="1" customWidth="1"/>
    <col min="422" max="422" width="11.140625" customWidth="1"/>
    <col min="423" max="423" width="7" customWidth="1"/>
    <col min="424" max="424" width="15.42578125" bestFit="1" customWidth="1"/>
    <col min="425" max="425" width="12.85546875" bestFit="1" customWidth="1"/>
    <col min="426" max="426" width="11.140625" customWidth="1"/>
    <col min="427" max="427" width="7" customWidth="1"/>
    <col min="428" max="428" width="15.42578125" bestFit="1" customWidth="1"/>
    <col min="429" max="429" width="12.85546875" bestFit="1" customWidth="1"/>
    <col min="430" max="430" width="11.140625" customWidth="1"/>
    <col min="431" max="431" width="7" customWidth="1"/>
    <col min="432" max="432" width="15.42578125" bestFit="1" customWidth="1"/>
    <col min="433" max="433" width="12.85546875" bestFit="1" customWidth="1"/>
    <col min="434" max="434" width="11.140625" customWidth="1"/>
    <col min="435" max="435" width="7" customWidth="1"/>
    <col min="436" max="436" width="15.42578125" bestFit="1" customWidth="1"/>
    <col min="437" max="437" width="12.85546875" bestFit="1" customWidth="1"/>
    <col min="438" max="438" width="11.140625" customWidth="1"/>
    <col min="439" max="439" width="7" customWidth="1"/>
    <col min="440" max="440" width="15.42578125" bestFit="1" customWidth="1"/>
    <col min="441" max="441" width="12.85546875" bestFit="1" customWidth="1"/>
    <col min="442" max="442" width="11.140625" customWidth="1"/>
    <col min="443" max="443" width="7" customWidth="1"/>
    <col min="444" max="444" width="15.42578125" bestFit="1" customWidth="1"/>
    <col min="445" max="445" width="13.85546875" bestFit="1" customWidth="1"/>
    <col min="446" max="446" width="6.140625" customWidth="1"/>
    <col min="447" max="447" width="16.5703125" bestFit="1" customWidth="1"/>
    <col min="448" max="448" width="13.85546875" bestFit="1" customWidth="1"/>
    <col min="449" max="449" width="16.5703125" bestFit="1" customWidth="1"/>
    <col min="450" max="450" width="13.85546875" bestFit="1" customWidth="1"/>
    <col min="451" max="451" width="6.140625" customWidth="1"/>
    <col min="452" max="452" width="16.5703125" bestFit="1" customWidth="1"/>
    <col min="453" max="453" width="13.85546875" bestFit="1" customWidth="1"/>
    <col min="454" max="454" width="16.5703125" bestFit="1" customWidth="1"/>
    <col min="455" max="455" width="7.140625" customWidth="1"/>
    <col min="456" max="456" width="11.85546875" bestFit="1" customWidth="1"/>
    <col min="457" max="457" width="14.42578125" bestFit="1" customWidth="1"/>
    <col min="458" max="458" width="11.85546875" bestFit="1" customWidth="1"/>
    <col min="459" max="459" width="14.42578125" bestFit="1" customWidth="1"/>
    <col min="460" max="460" width="11.85546875" bestFit="1" customWidth="1"/>
    <col min="461" max="461" width="14.42578125" bestFit="1" customWidth="1"/>
    <col min="462" max="462" width="11.85546875" bestFit="1" customWidth="1"/>
    <col min="463" max="463" width="14.42578125" bestFit="1" customWidth="1"/>
    <col min="464" max="464" width="11.85546875" bestFit="1" customWidth="1"/>
    <col min="465" max="465" width="14.42578125" bestFit="1" customWidth="1"/>
    <col min="466" max="466" width="11.85546875" bestFit="1" customWidth="1"/>
    <col min="467" max="467" width="14.42578125" bestFit="1" customWidth="1"/>
    <col min="468" max="468" width="11.85546875" bestFit="1" customWidth="1"/>
    <col min="469" max="469" width="14.42578125" bestFit="1" customWidth="1"/>
    <col min="470" max="470" width="11.85546875" bestFit="1" customWidth="1"/>
    <col min="471" max="471" width="14.42578125" bestFit="1" customWidth="1"/>
    <col min="472" max="472" width="11.85546875" bestFit="1" customWidth="1"/>
    <col min="473" max="473" width="14.42578125" bestFit="1" customWidth="1"/>
    <col min="474" max="474" width="11.85546875" bestFit="1" customWidth="1"/>
    <col min="475" max="475" width="14.42578125" bestFit="1" customWidth="1"/>
    <col min="476" max="476" width="11.85546875" bestFit="1" customWidth="1"/>
    <col min="477" max="477" width="14.42578125" bestFit="1" customWidth="1"/>
    <col min="478" max="478" width="11.85546875" bestFit="1" customWidth="1"/>
    <col min="479" max="479" width="14.42578125" bestFit="1" customWidth="1"/>
    <col min="480" max="480" width="11.85546875" bestFit="1" customWidth="1"/>
    <col min="481" max="481" width="14.42578125" bestFit="1" customWidth="1"/>
    <col min="482" max="482" width="11.85546875" bestFit="1" customWidth="1"/>
    <col min="483" max="483" width="14.42578125" bestFit="1" customWidth="1"/>
    <col min="484" max="484" width="11.85546875" bestFit="1" customWidth="1"/>
    <col min="485" max="485" width="14.42578125" bestFit="1" customWidth="1"/>
    <col min="486" max="486" width="11.85546875" bestFit="1" customWidth="1"/>
    <col min="487" max="487" width="14.42578125" bestFit="1" customWidth="1"/>
    <col min="488" max="488" width="7" customWidth="1"/>
    <col min="489" max="489" width="10.85546875" customWidth="1"/>
    <col min="490" max="490" width="19" bestFit="1" customWidth="1"/>
    <col min="491" max="491" width="18.7109375" bestFit="1" customWidth="1"/>
    <col min="492" max="492" width="24.85546875" bestFit="1" customWidth="1"/>
    <col min="493" max="493" width="25.140625" bestFit="1" customWidth="1"/>
  </cols>
  <sheetData>
    <row r="1" spans="1:16" ht="18.75" x14ac:dyDescent="0.3">
      <c r="A1" s="57" t="s">
        <v>295</v>
      </c>
    </row>
    <row r="3" spans="1:16" x14ac:dyDescent="0.25">
      <c r="B3" s="54" t="s">
        <v>287</v>
      </c>
    </row>
    <row r="4" spans="1:16" x14ac:dyDescent="0.25">
      <c r="B4" t="s">
        <v>290</v>
      </c>
      <c r="F4" t="s">
        <v>289</v>
      </c>
      <c r="J4" t="s">
        <v>291</v>
      </c>
      <c r="N4" t="s">
        <v>292</v>
      </c>
      <c r="O4" t="s">
        <v>293</v>
      </c>
      <c r="P4" t="s">
        <v>294</v>
      </c>
    </row>
    <row r="5" spans="1:16" x14ac:dyDescent="0.25">
      <c r="B5" t="s">
        <v>32</v>
      </c>
      <c r="E5" t="s">
        <v>288</v>
      </c>
      <c r="F5" t="s">
        <v>32</v>
      </c>
      <c r="I5" t="s">
        <v>288</v>
      </c>
      <c r="J5" t="s">
        <v>32</v>
      </c>
      <c r="M5" t="s">
        <v>288</v>
      </c>
    </row>
    <row r="6" spans="1:16" x14ac:dyDescent="0.25">
      <c r="A6" s="54" t="s">
        <v>285</v>
      </c>
      <c r="B6" t="s">
        <v>34</v>
      </c>
      <c r="C6" t="s">
        <v>35</v>
      </c>
      <c r="D6" t="s">
        <v>36</v>
      </c>
      <c r="F6" t="s">
        <v>34</v>
      </c>
      <c r="G6" t="s">
        <v>35</v>
      </c>
      <c r="H6" t="s">
        <v>36</v>
      </c>
      <c r="J6" t="s">
        <v>34</v>
      </c>
      <c r="K6" t="s">
        <v>35</v>
      </c>
      <c r="L6" t="s">
        <v>36</v>
      </c>
    </row>
    <row r="7" spans="1:16" x14ac:dyDescent="0.25">
      <c r="A7" s="55" t="s">
        <v>31</v>
      </c>
      <c r="B7" s="56">
        <v>1</v>
      </c>
      <c r="C7" s="56">
        <v>2</v>
      </c>
      <c r="D7" s="56">
        <v>3</v>
      </c>
      <c r="E7" s="56">
        <v>6</v>
      </c>
      <c r="F7" s="56">
        <v>1</v>
      </c>
      <c r="G7" s="56">
        <v>2</v>
      </c>
      <c r="H7" s="56"/>
      <c r="I7" s="56">
        <v>3</v>
      </c>
      <c r="J7" s="56">
        <v>1</v>
      </c>
      <c r="K7" s="56">
        <v>2</v>
      </c>
      <c r="L7" s="56">
        <v>3</v>
      </c>
      <c r="M7" s="56">
        <v>6</v>
      </c>
      <c r="N7" s="56">
        <v>6</v>
      </c>
      <c r="O7" s="56">
        <v>3</v>
      </c>
      <c r="P7" s="56">
        <v>6</v>
      </c>
    </row>
    <row r="8" spans="1:16" x14ac:dyDescent="0.25">
      <c r="A8" s="55" t="s">
        <v>30</v>
      </c>
      <c r="B8" s="56">
        <v>4</v>
      </c>
      <c r="C8" s="56">
        <v>4</v>
      </c>
      <c r="D8" s="56">
        <v>6</v>
      </c>
      <c r="E8" s="56">
        <v>14</v>
      </c>
      <c r="F8" s="56">
        <v>4</v>
      </c>
      <c r="G8" s="56">
        <v>3</v>
      </c>
      <c r="H8" s="56"/>
      <c r="I8" s="56">
        <v>7</v>
      </c>
      <c r="J8" s="56">
        <v>4</v>
      </c>
      <c r="K8" s="56">
        <v>4</v>
      </c>
      <c r="L8" s="56">
        <v>6</v>
      </c>
      <c r="M8" s="56">
        <v>14</v>
      </c>
      <c r="N8" s="56">
        <v>14</v>
      </c>
      <c r="O8" s="56">
        <v>7</v>
      </c>
      <c r="P8" s="56">
        <v>14</v>
      </c>
    </row>
    <row r="9" spans="1:16" x14ac:dyDescent="0.25">
      <c r="A9" s="55" t="s">
        <v>286</v>
      </c>
      <c r="B9" s="56">
        <v>5</v>
      </c>
      <c r="C9" s="56">
        <v>6</v>
      </c>
      <c r="D9" s="56">
        <v>9</v>
      </c>
      <c r="E9" s="56">
        <v>20</v>
      </c>
      <c r="F9" s="56">
        <v>5</v>
      </c>
      <c r="G9" s="56">
        <v>5</v>
      </c>
      <c r="H9" s="56"/>
      <c r="I9" s="56">
        <v>10</v>
      </c>
      <c r="J9" s="56">
        <v>5</v>
      </c>
      <c r="K9" s="56">
        <v>6</v>
      </c>
      <c r="L9" s="56">
        <v>9</v>
      </c>
      <c r="M9" s="56">
        <v>20</v>
      </c>
      <c r="N9" s="56">
        <v>20</v>
      </c>
      <c r="O9" s="56">
        <v>10</v>
      </c>
      <c r="P9" s="56">
        <v>20</v>
      </c>
    </row>
  </sheetData>
  <pageMargins left="0.7" right="0.7" top="0.75" bottom="0.75" header="0.3" footer="0.3"/>
  <pageSetup paperSize="9" orientation="portrait" horizontalDpi="300" verticalDpi="3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F51"/>
  <sheetViews>
    <sheetView topLeftCell="S1" workbookViewId="0">
      <selection activeCell="AH37" sqref="AH37"/>
    </sheetView>
  </sheetViews>
  <sheetFormatPr baseColWidth="10" defaultRowHeight="15" x14ac:dyDescent="0.25"/>
  <cols>
    <col min="1" max="1" width="5.28515625" customWidth="1"/>
    <col min="2" max="2" width="21.5703125" customWidth="1"/>
    <col min="3" max="3" width="16.140625" customWidth="1"/>
    <col min="5" max="5" width="12.140625" customWidth="1"/>
    <col min="6" max="6" width="11.7109375" customWidth="1"/>
    <col min="7" max="7" width="7.42578125" customWidth="1"/>
    <col min="8" max="8" width="11.7109375" customWidth="1"/>
    <col min="10" max="10" width="13.140625" customWidth="1"/>
    <col min="11" max="11" width="13.28515625" customWidth="1"/>
    <col min="13" max="13" width="11.85546875" customWidth="1"/>
    <col min="20" max="20" width="12.42578125" customWidth="1"/>
    <col min="25" max="25" width="12.7109375" customWidth="1"/>
    <col min="26" max="26" width="13" customWidth="1"/>
    <col min="30" max="30" width="17.140625" customWidth="1"/>
    <col min="31" max="31" width="11.5703125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22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37</v>
      </c>
      <c r="S1" t="s">
        <v>16</v>
      </c>
      <c r="T1" t="s">
        <v>18</v>
      </c>
      <c r="U1" t="s">
        <v>23</v>
      </c>
      <c r="V1" t="s">
        <v>17</v>
      </c>
      <c r="W1" t="s">
        <v>27</v>
      </c>
      <c r="X1" t="s">
        <v>19</v>
      </c>
      <c r="Y1" t="s">
        <v>20</v>
      </c>
      <c r="Z1" t="s">
        <v>21</v>
      </c>
      <c r="AA1" t="s">
        <v>24</v>
      </c>
      <c r="AB1" t="s">
        <v>25</v>
      </c>
      <c r="AC1" t="s">
        <v>26</v>
      </c>
      <c r="AD1" t="s">
        <v>38</v>
      </c>
      <c r="AE1" t="s">
        <v>28</v>
      </c>
      <c r="AF1" t="s">
        <v>29</v>
      </c>
    </row>
    <row r="2" spans="1:32" x14ac:dyDescent="0.25">
      <c r="A2">
        <v>1</v>
      </c>
      <c r="B2" t="s">
        <v>39</v>
      </c>
      <c r="C2" t="s">
        <v>40</v>
      </c>
      <c r="D2" t="s">
        <v>41</v>
      </c>
      <c r="E2" s="1">
        <v>30568</v>
      </c>
      <c r="F2" t="s">
        <v>42</v>
      </c>
      <c r="G2" t="s">
        <v>30</v>
      </c>
      <c r="H2" t="s">
        <v>35</v>
      </c>
      <c r="I2" t="s">
        <v>33</v>
      </c>
      <c r="J2">
        <v>1</v>
      </c>
      <c r="K2">
        <v>3</v>
      </c>
      <c r="L2">
        <v>350126.60000000003</v>
      </c>
      <c r="M2">
        <v>0</v>
      </c>
      <c r="N2">
        <v>0</v>
      </c>
      <c r="O2">
        <v>0</v>
      </c>
      <c r="P2">
        <v>0</v>
      </c>
      <c r="Q2">
        <v>4</v>
      </c>
      <c r="R2">
        <v>8080</v>
      </c>
      <c r="S2">
        <v>0</v>
      </c>
      <c r="T2">
        <v>17500</v>
      </c>
      <c r="U2">
        <v>375706.60000000003</v>
      </c>
      <c r="V2">
        <v>0</v>
      </c>
      <c r="W2">
        <v>375706.60000000003</v>
      </c>
      <c r="X2">
        <v>4500</v>
      </c>
      <c r="Y2">
        <v>25000</v>
      </c>
      <c r="Z2">
        <v>0</v>
      </c>
      <c r="AA2">
        <v>20160</v>
      </c>
      <c r="AB2">
        <v>9016.9583999999995</v>
      </c>
      <c r="AC2">
        <v>1800</v>
      </c>
      <c r="AD2">
        <v>25545.313333333335</v>
      </c>
      <c r="AE2">
        <v>86022.271733333342</v>
      </c>
      <c r="AF2">
        <v>289684.32826666668</v>
      </c>
    </row>
    <row r="3" spans="1:32" x14ac:dyDescent="0.25">
      <c r="A3">
        <v>2</v>
      </c>
      <c r="B3" t="s">
        <v>43</v>
      </c>
      <c r="C3" t="s">
        <v>44</v>
      </c>
      <c r="D3" t="s">
        <v>45</v>
      </c>
      <c r="E3" s="1" t="s">
        <v>46</v>
      </c>
      <c r="F3" t="s">
        <v>47</v>
      </c>
      <c r="G3" t="s">
        <v>30</v>
      </c>
      <c r="H3" t="s">
        <v>35</v>
      </c>
      <c r="I3" t="s">
        <v>32</v>
      </c>
      <c r="J3">
        <v>0</v>
      </c>
      <c r="K3">
        <v>0</v>
      </c>
      <c r="L3">
        <v>350126.60000000003</v>
      </c>
      <c r="M3">
        <v>0</v>
      </c>
      <c r="N3">
        <v>8</v>
      </c>
      <c r="O3">
        <v>4</v>
      </c>
      <c r="P3">
        <v>0</v>
      </c>
      <c r="Q3">
        <v>3</v>
      </c>
      <c r="R3">
        <v>12524</v>
      </c>
      <c r="S3">
        <v>15000</v>
      </c>
      <c r="T3">
        <v>12500</v>
      </c>
      <c r="U3">
        <v>390150.60000000003</v>
      </c>
      <c r="V3">
        <v>0</v>
      </c>
      <c r="W3">
        <v>390150.60000000003</v>
      </c>
      <c r="X3">
        <v>0</v>
      </c>
      <c r="Y3">
        <v>0</v>
      </c>
      <c r="Z3">
        <v>0</v>
      </c>
      <c r="AA3">
        <v>20160</v>
      </c>
      <c r="AB3">
        <v>9363.6144000000004</v>
      </c>
      <c r="AC3">
        <v>900</v>
      </c>
      <c r="AD3">
        <v>71545.180000000008</v>
      </c>
      <c r="AE3">
        <v>101968.79440000001</v>
      </c>
      <c r="AF3">
        <v>288181.80560000002</v>
      </c>
    </row>
    <row r="4" spans="1:32" x14ac:dyDescent="0.25">
      <c r="A4">
        <v>3</v>
      </c>
      <c r="B4" t="s">
        <v>48</v>
      </c>
      <c r="C4" t="s">
        <v>49</v>
      </c>
      <c r="D4" t="s">
        <v>50</v>
      </c>
      <c r="E4" s="1" t="s">
        <v>51</v>
      </c>
      <c r="F4" t="s">
        <v>52</v>
      </c>
      <c r="G4" t="s">
        <v>30</v>
      </c>
      <c r="H4" t="s">
        <v>35</v>
      </c>
      <c r="I4" t="s">
        <v>33</v>
      </c>
      <c r="J4">
        <v>2</v>
      </c>
      <c r="K4">
        <v>6</v>
      </c>
      <c r="L4">
        <v>350126.60000000003</v>
      </c>
      <c r="M4">
        <v>0</v>
      </c>
      <c r="N4">
        <v>0</v>
      </c>
      <c r="O4">
        <v>0</v>
      </c>
      <c r="P4">
        <v>6</v>
      </c>
      <c r="Q4">
        <v>2</v>
      </c>
      <c r="R4">
        <v>11312</v>
      </c>
      <c r="S4">
        <v>0</v>
      </c>
      <c r="T4">
        <v>20000</v>
      </c>
      <c r="U4">
        <v>381438.60000000003</v>
      </c>
      <c r="V4">
        <v>0</v>
      </c>
      <c r="W4">
        <v>381438.60000000003</v>
      </c>
      <c r="X4">
        <v>5000</v>
      </c>
      <c r="Y4">
        <v>0</v>
      </c>
      <c r="Z4">
        <v>0</v>
      </c>
      <c r="AA4">
        <v>20160</v>
      </c>
      <c r="AB4">
        <v>9154.5264000000006</v>
      </c>
      <c r="AC4">
        <v>2700</v>
      </c>
      <c r="AD4">
        <v>2264.9133333333398</v>
      </c>
      <c r="AE4">
        <v>39279.43973333334</v>
      </c>
      <c r="AF4">
        <v>342159.16026666667</v>
      </c>
    </row>
    <row r="5" spans="1:32" x14ac:dyDescent="0.25">
      <c r="A5">
        <v>4</v>
      </c>
      <c r="B5" t="s">
        <v>53</v>
      </c>
      <c r="C5" t="s">
        <v>54</v>
      </c>
      <c r="D5" t="s">
        <v>55</v>
      </c>
      <c r="E5" s="1" t="s">
        <v>56</v>
      </c>
      <c r="F5" t="s">
        <v>57</v>
      </c>
      <c r="G5" t="s">
        <v>30</v>
      </c>
      <c r="H5" t="s">
        <v>36</v>
      </c>
      <c r="I5" t="s">
        <v>33</v>
      </c>
      <c r="J5">
        <v>1</v>
      </c>
      <c r="K5">
        <v>1</v>
      </c>
      <c r="L5">
        <v>240062.05000000002</v>
      </c>
      <c r="M5">
        <v>0</v>
      </c>
      <c r="N5">
        <v>8</v>
      </c>
      <c r="O5">
        <v>4</v>
      </c>
      <c r="P5">
        <v>0</v>
      </c>
      <c r="Q5">
        <v>0</v>
      </c>
      <c r="R5">
        <v>4432</v>
      </c>
      <c r="S5">
        <v>10000</v>
      </c>
      <c r="T5">
        <v>0</v>
      </c>
      <c r="U5">
        <v>254494.05000000002</v>
      </c>
      <c r="V5">
        <v>0</v>
      </c>
      <c r="W5">
        <v>254494.05000000002</v>
      </c>
      <c r="X5">
        <v>0</v>
      </c>
      <c r="Y5">
        <v>0</v>
      </c>
      <c r="Z5">
        <v>0</v>
      </c>
      <c r="AA5">
        <v>14251.666800000001</v>
      </c>
      <c r="AC5">
        <v>1800</v>
      </c>
      <c r="AD5">
        <v>5848.2150000000011</v>
      </c>
      <c r="AE5">
        <v>21899.881800000003</v>
      </c>
      <c r="AF5">
        <v>232594.16820000001</v>
      </c>
    </row>
    <row r="6" spans="1:32" x14ac:dyDescent="0.25">
      <c r="A6">
        <v>5</v>
      </c>
      <c r="B6" t="s">
        <v>58</v>
      </c>
      <c r="C6" t="s">
        <v>59</v>
      </c>
      <c r="D6" t="s">
        <v>60</v>
      </c>
      <c r="E6" s="1" t="s">
        <v>61</v>
      </c>
      <c r="F6" t="s">
        <v>62</v>
      </c>
      <c r="G6" t="s">
        <v>30</v>
      </c>
      <c r="H6" t="s">
        <v>36</v>
      </c>
      <c r="I6" t="s">
        <v>32</v>
      </c>
      <c r="J6">
        <v>0</v>
      </c>
      <c r="K6">
        <v>1</v>
      </c>
      <c r="L6">
        <v>240062.05000000002</v>
      </c>
      <c r="M6">
        <v>15000</v>
      </c>
      <c r="N6">
        <v>8</v>
      </c>
      <c r="O6">
        <v>4</v>
      </c>
      <c r="P6">
        <v>4</v>
      </c>
      <c r="Q6">
        <v>2</v>
      </c>
      <c r="R6">
        <v>10526</v>
      </c>
      <c r="S6">
        <v>0</v>
      </c>
      <c r="T6">
        <v>0</v>
      </c>
      <c r="U6">
        <v>265588.05000000005</v>
      </c>
      <c r="V6">
        <v>35000</v>
      </c>
      <c r="W6">
        <v>300588.05000000005</v>
      </c>
      <c r="X6">
        <v>3500</v>
      </c>
      <c r="Y6">
        <v>30000</v>
      </c>
      <c r="Z6">
        <v>20000</v>
      </c>
      <c r="AA6">
        <v>14872.930800000004</v>
      </c>
      <c r="AC6">
        <v>900</v>
      </c>
      <c r="AD6">
        <v>36343.081666666687</v>
      </c>
      <c r="AE6">
        <v>105616.0124666667</v>
      </c>
      <c r="AF6">
        <v>159972.03753333335</v>
      </c>
    </row>
    <row r="7" spans="1:32" x14ac:dyDescent="0.25">
      <c r="A7">
        <v>6</v>
      </c>
      <c r="B7" t="s">
        <v>63</v>
      </c>
      <c r="C7" t="s">
        <v>64</v>
      </c>
      <c r="D7" t="s">
        <v>65</v>
      </c>
      <c r="E7" s="1">
        <v>29138</v>
      </c>
      <c r="F7" t="s">
        <v>66</v>
      </c>
      <c r="G7" t="s">
        <v>30</v>
      </c>
      <c r="H7" t="s">
        <v>36</v>
      </c>
      <c r="I7" t="s">
        <v>32</v>
      </c>
      <c r="J7">
        <v>0</v>
      </c>
      <c r="K7">
        <v>0</v>
      </c>
      <c r="L7">
        <v>240062.05000000002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240062.05000000002</v>
      </c>
      <c r="V7">
        <v>0</v>
      </c>
      <c r="W7" s="2">
        <v>240062.05000000002</v>
      </c>
      <c r="X7">
        <v>2500</v>
      </c>
      <c r="Y7">
        <v>0</v>
      </c>
      <c r="Z7">
        <v>0</v>
      </c>
      <c r="AA7">
        <v>13443.474800000002</v>
      </c>
      <c r="AC7">
        <v>900</v>
      </c>
      <c r="AD7">
        <v>27413.030500000004</v>
      </c>
      <c r="AE7">
        <v>44256.505300000004</v>
      </c>
      <c r="AF7">
        <v>195805.54470000003</v>
      </c>
    </row>
    <row r="8" spans="1:32" x14ac:dyDescent="0.25">
      <c r="A8">
        <v>7</v>
      </c>
      <c r="B8" t="s">
        <v>67</v>
      </c>
      <c r="C8" t="s">
        <v>68</v>
      </c>
      <c r="D8" t="s">
        <v>69</v>
      </c>
      <c r="E8" s="1" t="s">
        <v>70</v>
      </c>
      <c r="F8" t="s">
        <v>71</v>
      </c>
      <c r="G8" t="s">
        <v>31</v>
      </c>
      <c r="H8" t="s">
        <v>34</v>
      </c>
      <c r="I8" t="s">
        <v>33</v>
      </c>
      <c r="J8">
        <v>0</v>
      </c>
      <c r="K8">
        <v>4</v>
      </c>
      <c r="L8">
        <v>469897.63000000006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10000</v>
      </c>
      <c r="T8">
        <v>0</v>
      </c>
      <c r="U8">
        <v>479897.63000000006</v>
      </c>
      <c r="V8">
        <v>60000</v>
      </c>
      <c r="W8">
        <v>539897.63000000012</v>
      </c>
      <c r="X8">
        <v>0</v>
      </c>
      <c r="Y8">
        <v>0</v>
      </c>
      <c r="Z8">
        <v>0</v>
      </c>
      <c r="AA8">
        <v>20160</v>
      </c>
      <c r="AB8">
        <v>11517.543120000002</v>
      </c>
      <c r="AC8">
        <v>900</v>
      </c>
      <c r="AD8">
        <v>0</v>
      </c>
      <c r="AE8">
        <v>32577.543120000002</v>
      </c>
      <c r="AF8">
        <v>447320.08688000008</v>
      </c>
    </row>
    <row r="9" spans="1:32" x14ac:dyDescent="0.25">
      <c r="A9">
        <v>8</v>
      </c>
      <c r="B9" t="s">
        <v>72</v>
      </c>
      <c r="C9" t="s">
        <v>73</v>
      </c>
      <c r="D9" t="s">
        <v>74</v>
      </c>
      <c r="E9" s="1" t="s">
        <v>75</v>
      </c>
      <c r="F9" t="s">
        <v>42</v>
      </c>
      <c r="G9" t="s">
        <v>31</v>
      </c>
      <c r="H9" t="s">
        <v>34</v>
      </c>
      <c r="I9" t="s">
        <v>32</v>
      </c>
      <c r="J9">
        <v>0</v>
      </c>
      <c r="K9">
        <v>0</v>
      </c>
      <c r="L9">
        <v>469897.63000000006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469897.63000000006</v>
      </c>
      <c r="V9">
        <v>0</v>
      </c>
      <c r="W9">
        <v>469897.63000000006</v>
      </c>
      <c r="X9">
        <v>3000</v>
      </c>
      <c r="Y9">
        <v>0</v>
      </c>
      <c r="Z9">
        <v>0</v>
      </c>
      <c r="AA9">
        <v>20160</v>
      </c>
      <c r="AB9">
        <v>11277.543120000002</v>
      </c>
      <c r="AC9">
        <v>900</v>
      </c>
      <c r="AD9">
        <v>98547.503833333336</v>
      </c>
      <c r="AE9">
        <v>133885.04695333334</v>
      </c>
      <c r="AF9">
        <v>336012.5830466667</v>
      </c>
    </row>
    <row r="10" spans="1:32" x14ac:dyDescent="0.25">
      <c r="A10">
        <v>9</v>
      </c>
      <c r="B10" t="s">
        <v>76</v>
      </c>
      <c r="C10" t="s">
        <v>77</v>
      </c>
      <c r="D10" t="s">
        <v>74</v>
      </c>
      <c r="E10" s="1">
        <v>29260</v>
      </c>
      <c r="F10" t="s">
        <v>71</v>
      </c>
      <c r="G10" t="s">
        <v>30</v>
      </c>
      <c r="H10" t="s">
        <v>34</v>
      </c>
      <c r="I10" t="s">
        <v>33</v>
      </c>
      <c r="J10">
        <v>3</v>
      </c>
      <c r="K10">
        <v>8</v>
      </c>
      <c r="L10">
        <v>469897.63000000006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469897.63000000006</v>
      </c>
      <c r="V10">
        <v>37500</v>
      </c>
      <c r="W10">
        <v>507397.63000000006</v>
      </c>
      <c r="X10">
        <v>3000</v>
      </c>
      <c r="Y10">
        <v>55000</v>
      </c>
      <c r="Z10">
        <v>0</v>
      </c>
      <c r="AA10">
        <v>20160</v>
      </c>
      <c r="AB10">
        <v>11277.543120000002</v>
      </c>
      <c r="AC10">
        <v>3600</v>
      </c>
      <c r="AD10">
        <v>45005.837166666672</v>
      </c>
      <c r="AE10">
        <v>138043.38028666668</v>
      </c>
      <c r="AF10">
        <v>331854.24971333338</v>
      </c>
    </row>
    <row r="11" spans="1:32" x14ac:dyDescent="0.25">
      <c r="A11">
        <v>10</v>
      </c>
      <c r="B11" t="s">
        <v>78</v>
      </c>
      <c r="C11" t="s">
        <v>79</v>
      </c>
      <c r="D11" t="s">
        <v>80</v>
      </c>
      <c r="E11" s="1">
        <v>27977</v>
      </c>
      <c r="F11" t="s">
        <v>81</v>
      </c>
      <c r="G11" t="s">
        <v>30</v>
      </c>
      <c r="H11" t="s">
        <v>34</v>
      </c>
      <c r="I11" t="s">
        <v>32</v>
      </c>
      <c r="J11">
        <v>0</v>
      </c>
      <c r="K11">
        <v>0</v>
      </c>
      <c r="L11">
        <v>469897.63000000006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469897.63000000006</v>
      </c>
      <c r="V11">
        <v>50000</v>
      </c>
      <c r="W11">
        <v>519897.63000000006</v>
      </c>
      <c r="X11">
        <v>0</v>
      </c>
      <c r="Y11">
        <v>0</v>
      </c>
      <c r="Z11">
        <v>0</v>
      </c>
      <c r="AA11">
        <v>20160</v>
      </c>
      <c r="AB11">
        <v>11277.543120000002</v>
      </c>
      <c r="AC11">
        <v>900</v>
      </c>
      <c r="AD11">
        <v>116047.50383333334</v>
      </c>
      <c r="AE11">
        <v>148385.04695333331</v>
      </c>
      <c r="AF11">
        <v>321512.58304666675</v>
      </c>
    </row>
    <row r="12" spans="1:32" x14ac:dyDescent="0.25">
      <c r="A12">
        <v>11</v>
      </c>
      <c r="B12" t="s">
        <v>82</v>
      </c>
      <c r="C12" t="s">
        <v>83</v>
      </c>
      <c r="D12" t="s">
        <v>84</v>
      </c>
      <c r="E12" t="s">
        <v>85</v>
      </c>
      <c r="F12" t="s">
        <v>86</v>
      </c>
      <c r="G12" t="s">
        <v>31</v>
      </c>
      <c r="H12" t="s">
        <v>35</v>
      </c>
      <c r="I12" t="s">
        <v>32</v>
      </c>
      <c r="J12">
        <v>0</v>
      </c>
      <c r="K12">
        <v>0</v>
      </c>
      <c r="L12">
        <v>350126.60000000003</v>
      </c>
      <c r="M12">
        <v>0</v>
      </c>
      <c r="N12">
        <v>8</v>
      </c>
      <c r="O12">
        <v>0</v>
      </c>
      <c r="P12">
        <v>3</v>
      </c>
      <c r="Q12">
        <v>2</v>
      </c>
      <c r="R12">
        <v>7676</v>
      </c>
      <c r="S12">
        <v>0</v>
      </c>
      <c r="T12">
        <v>25000</v>
      </c>
      <c r="U12">
        <v>382802.60000000003</v>
      </c>
      <c r="V12">
        <v>0</v>
      </c>
      <c r="W12">
        <v>382802.60000000003</v>
      </c>
      <c r="X12">
        <v>3000</v>
      </c>
      <c r="Y12">
        <v>0</v>
      </c>
      <c r="Z12">
        <v>0</v>
      </c>
      <c r="AA12">
        <v>20160</v>
      </c>
      <c r="AB12">
        <v>9187.2624000000014</v>
      </c>
      <c r="AC12">
        <v>900</v>
      </c>
      <c r="AD12">
        <v>69340.78</v>
      </c>
      <c r="AE12">
        <v>102588.04240000001</v>
      </c>
      <c r="AF12">
        <v>280214.55760000006</v>
      </c>
    </row>
    <row r="13" spans="1:32" x14ac:dyDescent="0.25">
      <c r="A13">
        <v>12</v>
      </c>
      <c r="B13" t="s">
        <v>87</v>
      </c>
      <c r="C13" t="s">
        <v>88</v>
      </c>
      <c r="D13" t="s">
        <v>89</v>
      </c>
      <c r="E13" t="s">
        <v>90</v>
      </c>
      <c r="F13" t="s">
        <v>91</v>
      </c>
      <c r="G13" t="s">
        <v>30</v>
      </c>
      <c r="H13" t="s">
        <v>35</v>
      </c>
      <c r="I13" t="s">
        <v>32</v>
      </c>
      <c r="J13">
        <v>0</v>
      </c>
      <c r="K13">
        <v>0</v>
      </c>
      <c r="L13">
        <v>350126.60000000003</v>
      </c>
      <c r="M13">
        <v>0</v>
      </c>
      <c r="N13">
        <v>0</v>
      </c>
      <c r="O13">
        <v>0</v>
      </c>
      <c r="P13">
        <v>2</v>
      </c>
      <c r="Q13">
        <v>0</v>
      </c>
      <c r="R13">
        <v>2424</v>
      </c>
      <c r="S13">
        <v>0</v>
      </c>
      <c r="T13">
        <v>0</v>
      </c>
      <c r="U13">
        <v>352550.60000000003</v>
      </c>
      <c r="V13">
        <v>0</v>
      </c>
      <c r="W13">
        <v>352550.60000000003</v>
      </c>
      <c r="X13">
        <v>0</v>
      </c>
      <c r="Y13">
        <v>17500</v>
      </c>
      <c r="Z13">
        <v>0</v>
      </c>
      <c r="AA13">
        <v>19742.833600000002</v>
      </c>
      <c r="AC13">
        <v>900</v>
      </c>
      <c r="AD13">
        <v>60265.18</v>
      </c>
      <c r="AE13">
        <v>98408.013600000006</v>
      </c>
      <c r="AF13">
        <v>254142.58640000003</v>
      </c>
    </row>
    <row r="14" spans="1:32" x14ac:dyDescent="0.25">
      <c r="A14">
        <v>13</v>
      </c>
      <c r="B14" t="s">
        <v>92</v>
      </c>
      <c r="C14" t="s">
        <v>93</v>
      </c>
      <c r="D14" t="s">
        <v>94</v>
      </c>
      <c r="E14" t="s">
        <v>95</v>
      </c>
      <c r="F14" t="s">
        <v>96</v>
      </c>
      <c r="G14" t="s">
        <v>31</v>
      </c>
      <c r="H14" t="s">
        <v>35</v>
      </c>
      <c r="I14" t="s">
        <v>32</v>
      </c>
      <c r="J14">
        <v>0</v>
      </c>
      <c r="K14">
        <v>1</v>
      </c>
      <c r="L14">
        <v>350126.60000000003</v>
      </c>
      <c r="M14">
        <v>0</v>
      </c>
      <c r="N14">
        <v>8</v>
      </c>
      <c r="O14">
        <v>5</v>
      </c>
      <c r="P14">
        <v>3</v>
      </c>
      <c r="Q14">
        <v>3</v>
      </c>
      <c r="R14">
        <v>17776</v>
      </c>
      <c r="S14">
        <v>0</v>
      </c>
      <c r="T14">
        <v>17000</v>
      </c>
      <c r="U14">
        <v>384902.60000000003</v>
      </c>
      <c r="V14">
        <v>0</v>
      </c>
      <c r="W14">
        <v>384902.60000000003</v>
      </c>
      <c r="X14">
        <v>3000</v>
      </c>
      <c r="Y14">
        <v>0</v>
      </c>
      <c r="Z14">
        <v>15000</v>
      </c>
      <c r="AA14">
        <v>20160</v>
      </c>
      <c r="AB14">
        <v>9237.6624000000011</v>
      </c>
      <c r="AC14">
        <v>900</v>
      </c>
      <c r="AD14">
        <v>61637.446666666663</v>
      </c>
      <c r="AE14">
        <v>109935.10906666666</v>
      </c>
      <c r="AF14">
        <v>274967.49093333341</v>
      </c>
    </row>
    <row r="15" spans="1:32" x14ac:dyDescent="0.25">
      <c r="A15">
        <v>14</v>
      </c>
      <c r="B15" t="s">
        <v>97</v>
      </c>
      <c r="C15" t="s">
        <v>98</v>
      </c>
      <c r="D15" t="s">
        <v>99</v>
      </c>
      <c r="E15" t="s">
        <v>100</v>
      </c>
      <c r="F15" t="s">
        <v>101</v>
      </c>
      <c r="G15" t="s">
        <v>30</v>
      </c>
      <c r="H15" t="s">
        <v>36</v>
      </c>
      <c r="I15" t="s">
        <v>32</v>
      </c>
      <c r="J15">
        <v>0</v>
      </c>
      <c r="K15">
        <v>0</v>
      </c>
      <c r="L15">
        <v>240062.05000000002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240062.05000000002</v>
      </c>
      <c r="V15">
        <v>0</v>
      </c>
      <c r="W15">
        <v>240062.05000000002</v>
      </c>
      <c r="X15">
        <v>2500</v>
      </c>
      <c r="Y15">
        <v>0</v>
      </c>
      <c r="Z15">
        <v>0</v>
      </c>
      <c r="AA15">
        <v>13443.474800000002</v>
      </c>
      <c r="AC15">
        <v>900</v>
      </c>
      <c r="AD15">
        <v>27413.030500000004</v>
      </c>
      <c r="AE15">
        <v>44256.505300000004</v>
      </c>
      <c r="AF15">
        <v>195805.54470000003</v>
      </c>
    </row>
    <row r="16" spans="1:32" x14ac:dyDescent="0.25">
      <c r="A16">
        <v>15</v>
      </c>
      <c r="B16" t="s">
        <v>102</v>
      </c>
      <c r="C16" t="s">
        <v>103</v>
      </c>
      <c r="D16" t="s">
        <v>99</v>
      </c>
      <c r="E16" t="s">
        <v>104</v>
      </c>
      <c r="F16" t="s">
        <v>101</v>
      </c>
      <c r="G16" t="s">
        <v>30</v>
      </c>
      <c r="H16" t="s">
        <v>36</v>
      </c>
      <c r="I16" t="s">
        <v>32</v>
      </c>
      <c r="J16">
        <v>0</v>
      </c>
      <c r="K16">
        <v>0</v>
      </c>
      <c r="L16">
        <v>240062.05000000002</v>
      </c>
      <c r="M16">
        <v>0</v>
      </c>
      <c r="N16">
        <v>5</v>
      </c>
      <c r="O16">
        <v>5</v>
      </c>
      <c r="P16">
        <v>0</v>
      </c>
      <c r="Q16">
        <v>0</v>
      </c>
      <c r="R16">
        <v>5540</v>
      </c>
      <c r="S16">
        <v>0</v>
      </c>
      <c r="T16">
        <v>0</v>
      </c>
      <c r="U16">
        <v>245602.05000000002</v>
      </c>
      <c r="V16">
        <v>0</v>
      </c>
      <c r="W16">
        <v>245602.05000000002</v>
      </c>
      <c r="X16">
        <v>0</v>
      </c>
      <c r="Y16">
        <v>0</v>
      </c>
      <c r="Z16">
        <v>0</v>
      </c>
      <c r="AA16">
        <v>13753.714800000002</v>
      </c>
      <c r="AC16">
        <v>900</v>
      </c>
      <c r="AD16">
        <v>28576.430500000006</v>
      </c>
      <c r="AE16">
        <v>43230.145300000004</v>
      </c>
      <c r="AF16">
        <v>202371.90470000001</v>
      </c>
    </row>
    <row r="17" spans="1:32" x14ac:dyDescent="0.25">
      <c r="A17">
        <v>16</v>
      </c>
      <c r="B17" t="s">
        <v>105</v>
      </c>
      <c r="C17" t="s">
        <v>106</v>
      </c>
      <c r="D17" t="s">
        <v>107</v>
      </c>
      <c r="E17" t="s">
        <v>108</v>
      </c>
      <c r="F17" t="s">
        <v>109</v>
      </c>
      <c r="G17" t="s">
        <v>30</v>
      </c>
      <c r="H17" t="s">
        <v>36</v>
      </c>
      <c r="I17" t="s">
        <v>33</v>
      </c>
      <c r="J17">
        <v>1</v>
      </c>
      <c r="K17">
        <v>4</v>
      </c>
      <c r="L17">
        <v>240062.05000000002</v>
      </c>
      <c r="M17">
        <v>0</v>
      </c>
      <c r="N17">
        <v>8</v>
      </c>
      <c r="O17">
        <v>0</v>
      </c>
      <c r="P17">
        <v>0</v>
      </c>
      <c r="Q17">
        <v>6</v>
      </c>
      <c r="R17">
        <v>8310</v>
      </c>
      <c r="S17">
        <v>10000</v>
      </c>
      <c r="T17">
        <v>0</v>
      </c>
      <c r="U17">
        <v>258372.05000000002</v>
      </c>
      <c r="V17">
        <v>0</v>
      </c>
      <c r="W17">
        <v>258372.05000000002</v>
      </c>
      <c r="X17">
        <v>0</v>
      </c>
      <c r="Y17">
        <v>0</v>
      </c>
      <c r="Z17">
        <v>0</v>
      </c>
      <c r="AA17">
        <v>14468.834800000001</v>
      </c>
      <c r="AC17">
        <v>1800</v>
      </c>
      <c r="AD17">
        <v>-17988.384999999998</v>
      </c>
      <c r="AE17">
        <v>-1719.5501999999979</v>
      </c>
      <c r="AF17">
        <v>260091.60020000002</v>
      </c>
    </row>
    <row r="18" spans="1:32" x14ac:dyDescent="0.25">
      <c r="A18">
        <v>17</v>
      </c>
      <c r="B18" t="s">
        <v>110</v>
      </c>
      <c r="C18" t="s">
        <v>111</v>
      </c>
      <c r="D18" t="s">
        <v>107</v>
      </c>
      <c r="E18" t="s">
        <v>112</v>
      </c>
      <c r="F18" t="s">
        <v>113</v>
      </c>
      <c r="G18" t="s">
        <v>30</v>
      </c>
      <c r="H18" t="s">
        <v>36</v>
      </c>
      <c r="I18" t="s">
        <v>33</v>
      </c>
      <c r="J18">
        <v>1</v>
      </c>
      <c r="K18">
        <v>3</v>
      </c>
      <c r="L18">
        <v>240062.05000000002</v>
      </c>
      <c r="M18">
        <v>0</v>
      </c>
      <c r="N18">
        <v>0</v>
      </c>
      <c r="O18">
        <v>2</v>
      </c>
      <c r="P18">
        <v>5</v>
      </c>
      <c r="Q18">
        <v>0</v>
      </c>
      <c r="R18">
        <v>6371</v>
      </c>
      <c r="S18">
        <v>0</v>
      </c>
      <c r="T18">
        <v>0</v>
      </c>
      <c r="U18">
        <v>246433.05000000002</v>
      </c>
      <c r="V18">
        <v>0</v>
      </c>
      <c r="W18">
        <v>246433.05000000002</v>
      </c>
      <c r="X18">
        <v>0</v>
      </c>
      <c r="Y18">
        <v>20000</v>
      </c>
      <c r="Z18">
        <v>0</v>
      </c>
      <c r="AA18">
        <v>13800.250800000002</v>
      </c>
      <c r="AC18">
        <v>1800</v>
      </c>
      <c r="AD18">
        <v>-12915.726166666665</v>
      </c>
      <c r="AE18">
        <v>22684.524633333334</v>
      </c>
      <c r="AF18">
        <v>223748.52536666667</v>
      </c>
    </row>
    <row r="19" spans="1:32" x14ac:dyDescent="0.25">
      <c r="A19">
        <v>18</v>
      </c>
      <c r="B19" t="s">
        <v>114</v>
      </c>
      <c r="C19" t="s">
        <v>115</v>
      </c>
      <c r="D19" t="s">
        <v>116</v>
      </c>
      <c r="E19" t="s">
        <v>117</v>
      </c>
      <c r="F19" t="s">
        <v>118</v>
      </c>
      <c r="G19" t="s">
        <v>30</v>
      </c>
      <c r="H19" t="s">
        <v>34</v>
      </c>
      <c r="I19" t="s">
        <v>33</v>
      </c>
      <c r="J19">
        <v>2</v>
      </c>
      <c r="K19">
        <v>7</v>
      </c>
      <c r="L19">
        <v>469897.63000000006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10000</v>
      </c>
      <c r="T19">
        <v>0</v>
      </c>
      <c r="U19">
        <v>479897.63000000006</v>
      </c>
      <c r="V19">
        <v>65000</v>
      </c>
      <c r="W19">
        <v>544897.63000000012</v>
      </c>
      <c r="X19">
        <v>0</v>
      </c>
      <c r="Y19">
        <v>15000</v>
      </c>
      <c r="Z19">
        <v>0</v>
      </c>
      <c r="AA19">
        <v>20160</v>
      </c>
      <c r="AB19">
        <v>11517.543120000002</v>
      </c>
      <c r="AC19">
        <v>2700</v>
      </c>
      <c r="AD19">
        <v>58130.837166666715</v>
      </c>
      <c r="AE19">
        <v>107508.38028666672</v>
      </c>
      <c r="AF19">
        <v>372389.24971333332</v>
      </c>
    </row>
    <row r="20" spans="1:32" x14ac:dyDescent="0.25">
      <c r="A20">
        <v>19</v>
      </c>
      <c r="B20" t="s">
        <v>119</v>
      </c>
      <c r="C20" t="s">
        <v>120</v>
      </c>
      <c r="D20" t="s">
        <v>121</v>
      </c>
      <c r="E20" t="s">
        <v>122</v>
      </c>
      <c r="F20" t="s">
        <v>123</v>
      </c>
      <c r="G20" t="s">
        <v>30</v>
      </c>
      <c r="H20" t="s">
        <v>36</v>
      </c>
      <c r="I20" t="s">
        <v>33</v>
      </c>
      <c r="J20">
        <v>1</v>
      </c>
      <c r="K20">
        <v>1</v>
      </c>
      <c r="L20">
        <v>240062.05000000002</v>
      </c>
      <c r="M20">
        <v>0</v>
      </c>
      <c r="N20">
        <v>0</v>
      </c>
      <c r="O20">
        <v>0</v>
      </c>
      <c r="P20">
        <v>0</v>
      </c>
      <c r="Q20">
        <v>8</v>
      </c>
      <c r="R20">
        <v>11080</v>
      </c>
      <c r="S20">
        <v>0</v>
      </c>
      <c r="T20">
        <v>0</v>
      </c>
      <c r="U20">
        <v>251142.05000000002</v>
      </c>
      <c r="V20">
        <v>0</v>
      </c>
      <c r="W20">
        <v>251142.05000000002</v>
      </c>
      <c r="X20">
        <v>3000</v>
      </c>
      <c r="Y20">
        <v>0</v>
      </c>
      <c r="Z20">
        <v>0</v>
      </c>
      <c r="AA20">
        <v>14063.954800000001</v>
      </c>
      <c r="AC20">
        <v>1800</v>
      </c>
      <c r="AD20">
        <v>4842.6150000000007</v>
      </c>
      <c r="AE20">
        <v>23706.569800000001</v>
      </c>
      <c r="AF20">
        <v>227435.48020000002</v>
      </c>
    </row>
    <row r="21" spans="1:32" x14ac:dyDescent="0.25">
      <c r="A21">
        <v>20</v>
      </c>
      <c r="B21" t="s">
        <v>124</v>
      </c>
      <c r="C21" t="s">
        <v>125</v>
      </c>
      <c r="D21" t="s">
        <v>121</v>
      </c>
      <c r="E21" t="s">
        <v>126</v>
      </c>
      <c r="F21" t="s">
        <v>127</v>
      </c>
      <c r="G21" t="s">
        <v>30</v>
      </c>
      <c r="H21" t="s">
        <v>35</v>
      </c>
      <c r="I21" t="s">
        <v>33</v>
      </c>
      <c r="J21">
        <v>1</v>
      </c>
      <c r="K21">
        <v>3</v>
      </c>
      <c r="L21">
        <v>350126.60000000003</v>
      </c>
      <c r="M21">
        <v>13500</v>
      </c>
      <c r="N21">
        <v>8</v>
      </c>
      <c r="O21">
        <v>3</v>
      </c>
      <c r="P21">
        <v>0</v>
      </c>
      <c r="Q21">
        <v>0</v>
      </c>
      <c r="R21">
        <v>4848</v>
      </c>
      <c r="S21">
        <v>0</v>
      </c>
      <c r="T21">
        <v>0</v>
      </c>
      <c r="U21">
        <v>368474.60000000003</v>
      </c>
      <c r="V21">
        <v>0</v>
      </c>
      <c r="W21">
        <v>368474.60000000003</v>
      </c>
      <c r="X21">
        <v>2500</v>
      </c>
      <c r="Y21">
        <v>0</v>
      </c>
      <c r="Z21">
        <v>0</v>
      </c>
      <c r="AA21">
        <v>20160</v>
      </c>
      <c r="AB21">
        <v>8843.3904000000002</v>
      </c>
      <c r="AC21">
        <v>1800</v>
      </c>
      <c r="AD21">
        <v>23375.713333333337</v>
      </c>
      <c r="AE21">
        <v>56679.103733333337</v>
      </c>
      <c r="AF21">
        <v>311795.49626666668</v>
      </c>
    </row>
    <row r="22" spans="1:32" x14ac:dyDescent="0.25">
      <c r="A22">
        <v>21</v>
      </c>
      <c r="B22" t="s">
        <v>128</v>
      </c>
      <c r="C22" t="s">
        <v>129</v>
      </c>
      <c r="D22" t="s">
        <v>130</v>
      </c>
      <c r="E22" s="1">
        <v>28924</v>
      </c>
      <c r="F22" t="s">
        <v>131</v>
      </c>
      <c r="G22" t="s">
        <v>30</v>
      </c>
      <c r="H22" t="s">
        <v>35</v>
      </c>
      <c r="I22" t="s">
        <v>33</v>
      </c>
      <c r="J22">
        <v>2</v>
      </c>
      <c r="K22">
        <v>4</v>
      </c>
      <c r="L22">
        <v>350126.60000000003</v>
      </c>
      <c r="M22">
        <v>0</v>
      </c>
      <c r="N22">
        <v>8</v>
      </c>
      <c r="O22">
        <v>4</v>
      </c>
      <c r="P22">
        <v>4</v>
      </c>
      <c r="Q22">
        <v>6</v>
      </c>
      <c r="R22">
        <v>23432</v>
      </c>
      <c r="S22">
        <v>0</v>
      </c>
      <c r="T22">
        <v>20000</v>
      </c>
      <c r="U22">
        <v>393558.60000000003</v>
      </c>
      <c r="V22">
        <v>0</v>
      </c>
      <c r="W22">
        <v>393558.60000000003</v>
      </c>
      <c r="X22">
        <v>0</v>
      </c>
      <c r="Y22">
        <v>0</v>
      </c>
      <c r="Z22">
        <v>0</v>
      </c>
      <c r="AA22">
        <v>20160</v>
      </c>
      <c r="AB22">
        <v>9445.4064000000017</v>
      </c>
      <c r="AC22">
        <v>2700</v>
      </c>
      <c r="AD22">
        <v>14234.246666666673</v>
      </c>
      <c r="AE22">
        <v>46539.653066666673</v>
      </c>
      <c r="AF22">
        <v>347018.94693333335</v>
      </c>
    </row>
    <row r="23" spans="1:32" x14ac:dyDescent="0.25">
      <c r="A23">
        <v>22</v>
      </c>
      <c r="B23" t="s">
        <v>132</v>
      </c>
      <c r="C23" t="s">
        <v>133</v>
      </c>
      <c r="D23" t="s">
        <v>130</v>
      </c>
      <c r="E23" s="1">
        <v>30263</v>
      </c>
      <c r="F23" t="s">
        <v>134</v>
      </c>
      <c r="G23" t="s">
        <v>31</v>
      </c>
      <c r="H23" t="s">
        <v>35</v>
      </c>
      <c r="I23" t="s">
        <v>33</v>
      </c>
      <c r="J23">
        <v>0</v>
      </c>
      <c r="K23">
        <v>3</v>
      </c>
      <c r="L23">
        <v>350126.60000000003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10000</v>
      </c>
      <c r="T23">
        <v>0</v>
      </c>
      <c r="U23">
        <v>360126.60000000003</v>
      </c>
      <c r="V23">
        <v>0</v>
      </c>
      <c r="W23">
        <v>360126.60000000003</v>
      </c>
      <c r="X23">
        <v>0</v>
      </c>
      <c r="Y23">
        <v>0</v>
      </c>
      <c r="Z23">
        <v>0</v>
      </c>
      <c r="AA23">
        <v>20160</v>
      </c>
      <c r="AB23">
        <v>8643.0384000000013</v>
      </c>
      <c r="AC23">
        <v>900</v>
      </c>
      <c r="AD23">
        <v>0</v>
      </c>
      <c r="AE23">
        <v>29703.038400000001</v>
      </c>
      <c r="AF23">
        <v>330423.56160000002</v>
      </c>
    </row>
    <row r="24" spans="1:32" x14ac:dyDescent="0.25">
      <c r="A24">
        <v>23</v>
      </c>
      <c r="B24" t="s">
        <v>135</v>
      </c>
      <c r="C24" t="s">
        <v>136</v>
      </c>
      <c r="D24" t="s">
        <v>137</v>
      </c>
      <c r="E24" s="1">
        <v>27489</v>
      </c>
      <c r="F24" t="s">
        <v>138</v>
      </c>
      <c r="G24" t="s">
        <v>30</v>
      </c>
      <c r="H24" t="s">
        <v>36</v>
      </c>
      <c r="I24" t="s">
        <v>33</v>
      </c>
      <c r="J24">
        <v>2</v>
      </c>
      <c r="K24">
        <v>5</v>
      </c>
      <c r="L24">
        <v>240062.05000000002</v>
      </c>
      <c r="M24">
        <v>0</v>
      </c>
      <c r="N24">
        <v>0</v>
      </c>
      <c r="O24">
        <v>0</v>
      </c>
      <c r="P24">
        <v>3</v>
      </c>
      <c r="Q24">
        <v>6</v>
      </c>
      <c r="R24">
        <v>10803</v>
      </c>
      <c r="S24">
        <v>0</v>
      </c>
      <c r="T24">
        <v>0</v>
      </c>
      <c r="U24">
        <v>250865.05000000002</v>
      </c>
      <c r="V24">
        <v>50000</v>
      </c>
      <c r="W24">
        <v>300865.05000000005</v>
      </c>
      <c r="X24">
        <v>0</v>
      </c>
      <c r="Y24">
        <v>0</v>
      </c>
      <c r="Z24">
        <v>0</v>
      </c>
      <c r="AA24">
        <v>14048.442800000001</v>
      </c>
      <c r="AC24">
        <v>2700</v>
      </c>
      <c r="AD24">
        <v>-21907.151666666654</v>
      </c>
      <c r="AE24">
        <v>-5158.7088666666532</v>
      </c>
      <c r="AF24">
        <v>256023.75886666667</v>
      </c>
    </row>
    <row r="25" spans="1:32" x14ac:dyDescent="0.25">
      <c r="A25">
        <v>24</v>
      </c>
      <c r="B25" t="s">
        <v>139</v>
      </c>
      <c r="C25" t="s">
        <v>140</v>
      </c>
      <c r="D25" t="s">
        <v>141</v>
      </c>
      <c r="E25" t="s">
        <v>142</v>
      </c>
      <c r="F25" t="s">
        <v>143</v>
      </c>
      <c r="G25" t="s">
        <v>30</v>
      </c>
      <c r="H25" t="s">
        <v>36</v>
      </c>
      <c r="I25" t="s">
        <v>33</v>
      </c>
      <c r="J25">
        <v>1</v>
      </c>
      <c r="K25">
        <v>0</v>
      </c>
      <c r="L25">
        <v>240062.05000000002</v>
      </c>
      <c r="M25">
        <v>0</v>
      </c>
      <c r="N25">
        <v>8</v>
      </c>
      <c r="O25">
        <v>5</v>
      </c>
      <c r="P25">
        <v>2</v>
      </c>
      <c r="Q25">
        <v>0</v>
      </c>
      <c r="R25">
        <v>7202</v>
      </c>
      <c r="S25">
        <v>10000</v>
      </c>
      <c r="T25">
        <v>0</v>
      </c>
      <c r="U25">
        <v>257264.05000000002</v>
      </c>
      <c r="V25">
        <v>0</v>
      </c>
      <c r="W25">
        <v>257264.05000000002</v>
      </c>
      <c r="X25">
        <v>2500</v>
      </c>
      <c r="Y25">
        <v>0</v>
      </c>
      <c r="Z25">
        <v>0</v>
      </c>
      <c r="AA25">
        <v>14406.786800000002</v>
      </c>
      <c r="AC25">
        <v>1800</v>
      </c>
      <c r="AD25">
        <v>0</v>
      </c>
      <c r="AE25">
        <v>18706.786800000002</v>
      </c>
      <c r="AF25">
        <v>238557.26320000002</v>
      </c>
    </row>
    <row r="26" spans="1:32" x14ac:dyDescent="0.25">
      <c r="A26">
        <v>25</v>
      </c>
      <c r="B26" t="s">
        <v>144</v>
      </c>
      <c r="C26" t="s">
        <v>145</v>
      </c>
      <c r="D26" t="s">
        <v>141</v>
      </c>
      <c r="E26" s="1">
        <v>28525</v>
      </c>
      <c r="F26" t="s">
        <v>146</v>
      </c>
      <c r="G26" t="s">
        <v>31</v>
      </c>
      <c r="H26" t="s">
        <v>36</v>
      </c>
      <c r="I26" t="s">
        <v>32</v>
      </c>
      <c r="J26">
        <v>0</v>
      </c>
      <c r="K26">
        <v>0</v>
      </c>
      <c r="L26">
        <v>240062.05000000002</v>
      </c>
      <c r="M26">
        <v>0</v>
      </c>
      <c r="N26">
        <v>0</v>
      </c>
      <c r="O26">
        <v>4</v>
      </c>
      <c r="P26">
        <v>0</v>
      </c>
      <c r="Q26">
        <v>5</v>
      </c>
      <c r="R26">
        <v>11357</v>
      </c>
      <c r="S26">
        <v>0</v>
      </c>
      <c r="T26">
        <v>0</v>
      </c>
      <c r="U26">
        <v>251419.05000000002</v>
      </c>
      <c r="V26">
        <v>0</v>
      </c>
      <c r="W26">
        <v>251419.05000000002</v>
      </c>
      <c r="X26">
        <v>3000</v>
      </c>
      <c r="Y26">
        <v>30000</v>
      </c>
      <c r="Z26">
        <v>0</v>
      </c>
      <c r="AA26">
        <v>14079.466800000002</v>
      </c>
      <c r="AC26">
        <v>900</v>
      </c>
      <c r="AD26">
        <v>29925.715</v>
      </c>
      <c r="AE26">
        <v>77905.181800000006</v>
      </c>
      <c r="AF26">
        <v>173513.86820000003</v>
      </c>
    </row>
    <row r="27" spans="1:32" x14ac:dyDescent="0.25">
      <c r="A27">
        <v>26</v>
      </c>
      <c r="B27" t="s">
        <v>147</v>
      </c>
      <c r="C27" t="s">
        <v>148</v>
      </c>
      <c r="D27" t="s">
        <v>149</v>
      </c>
      <c r="E27" t="s">
        <v>150</v>
      </c>
      <c r="F27" t="s">
        <v>151</v>
      </c>
      <c r="G27" t="s">
        <v>30</v>
      </c>
      <c r="H27" t="s">
        <v>36</v>
      </c>
      <c r="I27" t="s">
        <v>32</v>
      </c>
      <c r="J27">
        <v>0</v>
      </c>
      <c r="K27">
        <v>0</v>
      </c>
      <c r="L27">
        <v>240062.05000000002</v>
      </c>
      <c r="M27">
        <v>12000</v>
      </c>
      <c r="N27">
        <v>8</v>
      </c>
      <c r="O27">
        <v>4</v>
      </c>
      <c r="P27">
        <v>5</v>
      </c>
      <c r="Q27">
        <v>7</v>
      </c>
      <c r="R27">
        <v>18282</v>
      </c>
      <c r="S27">
        <v>0</v>
      </c>
      <c r="T27">
        <v>0</v>
      </c>
      <c r="U27">
        <v>270344.05000000005</v>
      </c>
      <c r="V27">
        <v>0</v>
      </c>
      <c r="W27">
        <v>270344.05000000005</v>
      </c>
      <c r="X27">
        <v>0</v>
      </c>
      <c r="Y27">
        <v>0</v>
      </c>
      <c r="Z27">
        <v>0</v>
      </c>
      <c r="AA27">
        <v>15139.266800000003</v>
      </c>
      <c r="AC27">
        <v>900</v>
      </c>
      <c r="AD27">
        <v>35603.215000000018</v>
      </c>
      <c r="AE27">
        <v>51642.481800000023</v>
      </c>
      <c r="AF27">
        <v>218701.56820000004</v>
      </c>
    </row>
    <row r="28" spans="1:32" x14ac:dyDescent="0.25">
      <c r="A28">
        <v>27</v>
      </c>
      <c r="B28" t="s">
        <v>152</v>
      </c>
      <c r="C28" t="s">
        <v>106</v>
      </c>
      <c r="D28" t="s">
        <v>153</v>
      </c>
      <c r="E28" t="s">
        <v>154</v>
      </c>
      <c r="F28" t="s">
        <v>155</v>
      </c>
      <c r="G28" t="s">
        <v>30</v>
      </c>
      <c r="H28" t="s">
        <v>34</v>
      </c>
      <c r="I28" t="s">
        <v>32</v>
      </c>
      <c r="J28">
        <v>0</v>
      </c>
      <c r="K28">
        <v>0</v>
      </c>
      <c r="L28">
        <v>469897.63000000006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469897.63000000006</v>
      </c>
      <c r="V28">
        <v>15000</v>
      </c>
      <c r="W28">
        <v>484897.63000000006</v>
      </c>
      <c r="X28">
        <v>3000</v>
      </c>
      <c r="Y28">
        <v>0</v>
      </c>
      <c r="Z28">
        <v>0</v>
      </c>
      <c r="AA28">
        <v>20160</v>
      </c>
      <c r="AB28">
        <v>11277.543120000002</v>
      </c>
      <c r="AC28">
        <v>900</v>
      </c>
      <c r="AD28">
        <v>103797.50383333334</v>
      </c>
      <c r="AE28">
        <v>139135.04695333334</v>
      </c>
      <c r="AF28">
        <v>330762.5830466667</v>
      </c>
    </row>
    <row r="29" spans="1:32" x14ac:dyDescent="0.25">
      <c r="A29">
        <v>28</v>
      </c>
      <c r="B29" t="s">
        <v>156</v>
      </c>
      <c r="C29" t="s">
        <v>157</v>
      </c>
      <c r="D29" t="s">
        <v>158</v>
      </c>
      <c r="E29" s="1">
        <v>29901</v>
      </c>
      <c r="F29" t="s">
        <v>159</v>
      </c>
      <c r="G29" t="s">
        <v>30</v>
      </c>
      <c r="H29" t="s">
        <v>35</v>
      </c>
      <c r="I29" t="s">
        <v>32</v>
      </c>
      <c r="J29">
        <v>0</v>
      </c>
      <c r="K29">
        <v>0</v>
      </c>
      <c r="L29">
        <v>350126.60000000003</v>
      </c>
      <c r="M29">
        <v>0</v>
      </c>
      <c r="N29">
        <v>8</v>
      </c>
      <c r="O29">
        <v>2</v>
      </c>
      <c r="P29">
        <v>0</v>
      </c>
      <c r="Q29">
        <v>5</v>
      </c>
      <c r="R29">
        <v>13332</v>
      </c>
      <c r="S29">
        <v>0</v>
      </c>
      <c r="T29">
        <v>0</v>
      </c>
      <c r="U29">
        <v>363458.60000000003</v>
      </c>
      <c r="V29">
        <v>0</v>
      </c>
      <c r="W29">
        <v>363458.60000000003</v>
      </c>
      <c r="X29">
        <v>2500</v>
      </c>
      <c r="Y29">
        <v>0</v>
      </c>
      <c r="Z29">
        <v>0</v>
      </c>
      <c r="AA29">
        <v>20160</v>
      </c>
      <c r="AB29">
        <v>8723.0064000000002</v>
      </c>
      <c r="AC29">
        <v>900</v>
      </c>
      <c r="AD29">
        <v>63537.580000000009</v>
      </c>
      <c r="AE29">
        <v>95820.586400000015</v>
      </c>
      <c r="AF29">
        <v>267638.01360000001</v>
      </c>
    </row>
    <row r="30" spans="1:32" x14ac:dyDescent="0.25">
      <c r="A30">
        <v>29</v>
      </c>
      <c r="B30" t="s">
        <v>160</v>
      </c>
      <c r="C30" t="s">
        <v>161</v>
      </c>
      <c r="D30" t="s">
        <v>162</v>
      </c>
      <c r="E30" s="1">
        <v>31083</v>
      </c>
      <c r="F30" t="s">
        <v>163</v>
      </c>
      <c r="G30" t="s">
        <v>31</v>
      </c>
      <c r="H30" t="s">
        <v>34</v>
      </c>
      <c r="I30" t="s">
        <v>33</v>
      </c>
      <c r="J30">
        <v>0</v>
      </c>
      <c r="K30">
        <v>2</v>
      </c>
      <c r="L30">
        <v>469897.63000000006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10000</v>
      </c>
      <c r="T30">
        <v>0</v>
      </c>
      <c r="U30">
        <v>479897.63000000006</v>
      </c>
      <c r="V30">
        <v>17500</v>
      </c>
      <c r="W30">
        <v>497397.63000000006</v>
      </c>
      <c r="X30">
        <v>0</v>
      </c>
      <c r="Y30">
        <v>0</v>
      </c>
      <c r="Z30">
        <v>0</v>
      </c>
      <c r="AA30">
        <v>20160</v>
      </c>
      <c r="AB30">
        <v>11517.543120000002</v>
      </c>
      <c r="AC30">
        <v>900</v>
      </c>
      <c r="AD30">
        <v>0</v>
      </c>
      <c r="AE30">
        <v>32577.543120000002</v>
      </c>
      <c r="AF30">
        <v>447320.08688000008</v>
      </c>
    </row>
    <row r="31" spans="1:32" x14ac:dyDescent="0.25">
      <c r="A31">
        <v>30</v>
      </c>
      <c r="B31" t="s">
        <v>164</v>
      </c>
      <c r="C31" t="s">
        <v>165</v>
      </c>
      <c r="D31" t="s">
        <v>166</v>
      </c>
      <c r="E31" t="s">
        <v>167</v>
      </c>
      <c r="F31" t="s">
        <v>168</v>
      </c>
      <c r="G31" t="s">
        <v>30</v>
      </c>
      <c r="H31" t="s">
        <v>34</v>
      </c>
      <c r="I31" t="s">
        <v>33</v>
      </c>
      <c r="J31">
        <v>3</v>
      </c>
      <c r="K31">
        <v>7</v>
      </c>
      <c r="L31">
        <v>469897.63000000006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8000</v>
      </c>
      <c r="T31">
        <v>0</v>
      </c>
      <c r="U31">
        <v>477897.63000000006</v>
      </c>
      <c r="V31">
        <v>0</v>
      </c>
      <c r="W31">
        <v>477897.63000000006</v>
      </c>
      <c r="X31">
        <v>3000</v>
      </c>
      <c r="Y31">
        <v>12500</v>
      </c>
      <c r="Z31">
        <v>0</v>
      </c>
      <c r="AA31">
        <v>20160</v>
      </c>
      <c r="AB31">
        <v>11469.543120000002</v>
      </c>
      <c r="AC31">
        <v>3600</v>
      </c>
      <c r="AD31">
        <v>34680.837166666672</v>
      </c>
      <c r="AE31">
        <v>85410.380286666681</v>
      </c>
      <c r="AF31">
        <v>392487.24971333338</v>
      </c>
    </row>
    <row r="32" spans="1:32" x14ac:dyDescent="0.25">
      <c r="A32">
        <v>31</v>
      </c>
      <c r="B32" t="s">
        <v>169</v>
      </c>
      <c r="C32" t="s">
        <v>170</v>
      </c>
      <c r="D32" t="s">
        <v>171</v>
      </c>
      <c r="E32" t="s">
        <v>126</v>
      </c>
      <c r="F32" t="s">
        <v>172</v>
      </c>
      <c r="G32" t="s">
        <v>30</v>
      </c>
      <c r="H32" t="s">
        <v>34</v>
      </c>
      <c r="I32" t="s">
        <v>33</v>
      </c>
      <c r="J32">
        <v>1</v>
      </c>
      <c r="K32">
        <v>5</v>
      </c>
      <c r="L32">
        <v>469897.63000000006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20000</v>
      </c>
      <c r="U32">
        <v>489897.63000000006</v>
      </c>
      <c r="V32">
        <v>10000</v>
      </c>
      <c r="W32">
        <v>499897.63000000006</v>
      </c>
      <c r="X32">
        <v>0</v>
      </c>
      <c r="Y32">
        <v>0</v>
      </c>
      <c r="Z32">
        <v>0</v>
      </c>
      <c r="AA32">
        <v>20160</v>
      </c>
      <c r="AB32">
        <v>11757.543120000002</v>
      </c>
      <c r="AC32">
        <v>1800</v>
      </c>
      <c r="AD32">
        <v>50714.170500000007</v>
      </c>
      <c r="AE32">
        <v>84431.71362000001</v>
      </c>
      <c r="AF32">
        <v>405465.91638000007</v>
      </c>
    </row>
    <row r="33" spans="1:32" x14ac:dyDescent="0.25">
      <c r="A33">
        <v>32</v>
      </c>
      <c r="B33" t="s">
        <v>173</v>
      </c>
      <c r="C33" t="s">
        <v>174</v>
      </c>
      <c r="D33" t="s">
        <v>175</v>
      </c>
      <c r="E33" s="1">
        <v>31110</v>
      </c>
      <c r="F33" t="s">
        <v>176</v>
      </c>
      <c r="G33" t="s">
        <v>30</v>
      </c>
      <c r="H33" t="s">
        <v>35</v>
      </c>
      <c r="I33" t="s">
        <v>33</v>
      </c>
      <c r="J33">
        <v>1</v>
      </c>
      <c r="K33">
        <v>3</v>
      </c>
      <c r="L33">
        <v>350126.60000000003</v>
      </c>
      <c r="M33">
        <v>0</v>
      </c>
      <c r="N33">
        <v>8</v>
      </c>
      <c r="O33">
        <v>0</v>
      </c>
      <c r="P33">
        <v>0</v>
      </c>
      <c r="Q33">
        <v>3</v>
      </c>
      <c r="R33">
        <v>6060</v>
      </c>
      <c r="S33">
        <v>0</v>
      </c>
      <c r="T33">
        <v>0</v>
      </c>
      <c r="U33">
        <v>356186.60000000003</v>
      </c>
      <c r="V33">
        <v>0</v>
      </c>
      <c r="W33">
        <v>356186.60000000003</v>
      </c>
      <c r="X33">
        <v>3000</v>
      </c>
      <c r="Y33">
        <v>0</v>
      </c>
      <c r="Z33">
        <v>0</v>
      </c>
      <c r="AA33">
        <v>19946.449600000004</v>
      </c>
      <c r="AC33">
        <v>1800</v>
      </c>
      <c r="AD33">
        <v>19689.313333333335</v>
      </c>
      <c r="AE33">
        <v>44435.762933333339</v>
      </c>
      <c r="AF33">
        <v>311750.83706666669</v>
      </c>
    </row>
    <row r="34" spans="1:32" x14ac:dyDescent="0.25">
      <c r="A34">
        <v>33</v>
      </c>
      <c r="B34" t="s">
        <v>177</v>
      </c>
      <c r="C34" t="s">
        <v>178</v>
      </c>
      <c r="D34" t="s">
        <v>179</v>
      </c>
      <c r="E34" s="1">
        <v>28377</v>
      </c>
      <c r="F34" t="s">
        <v>180</v>
      </c>
      <c r="G34" t="s">
        <v>30</v>
      </c>
      <c r="H34" t="s">
        <v>35</v>
      </c>
      <c r="I34" t="s">
        <v>33</v>
      </c>
      <c r="J34">
        <v>1</v>
      </c>
      <c r="K34">
        <v>4</v>
      </c>
      <c r="L34">
        <v>350126.60000000003</v>
      </c>
      <c r="M34">
        <v>0</v>
      </c>
      <c r="N34">
        <v>0</v>
      </c>
      <c r="O34">
        <v>0</v>
      </c>
      <c r="P34">
        <v>0</v>
      </c>
      <c r="Q34">
        <v>6</v>
      </c>
      <c r="R34">
        <v>12120</v>
      </c>
      <c r="S34">
        <v>0</v>
      </c>
      <c r="T34">
        <v>0</v>
      </c>
      <c r="U34">
        <v>362246.60000000003</v>
      </c>
      <c r="V34">
        <v>0</v>
      </c>
      <c r="W34">
        <v>362246.60000000003</v>
      </c>
      <c r="X34">
        <v>3000</v>
      </c>
      <c r="Y34">
        <v>0</v>
      </c>
      <c r="Z34">
        <v>0</v>
      </c>
      <c r="AA34">
        <v>20160</v>
      </c>
      <c r="AB34">
        <v>8693.9184000000005</v>
      </c>
      <c r="AC34">
        <v>1800</v>
      </c>
      <c r="AD34">
        <v>13173.980000000001</v>
      </c>
      <c r="AE34">
        <v>46827.898400000005</v>
      </c>
      <c r="AF34">
        <v>315418.70160000003</v>
      </c>
    </row>
    <row r="35" spans="1:32" x14ac:dyDescent="0.25">
      <c r="A35">
        <v>34</v>
      </c>
      <c r="B35" t="s">
        <v>181</v>
      </c>
      <c r="C35" t="s">
        <v>182</v>
      </c>
      <c r="D35" t="s">
        <v>183</v>
      </c>
      <c r="E35" s="1">
        <v>27672</v>
      </c>
      <c r="F35" t="s">
        <v>184</v>
      </c>
      <c r="G35" t="s">
        <v>31</v>
      </c>
      <c r="H35" t="s">
        <v>35</v>
      </c>
      <c r="I35" t="s">
        <v>33</v>
      </c>
      <c r="J35">
        <v>0</v>
      </c>
      <c r="K35">
        <v>2</v>
      </c>
      <c r="L35">
        <v>350126.60000000003</v>
      </c>
      <c r="M35">
        <v>0</v>
      </c>
      <c r="N35">
        <v>8</v>
      </c>
      <c r="O35">
        <v>0</v>
      </c>
      <c r="P35">
        <v>0</v>
      </c>
      <c r="Q35">
        <v>0</v>
      </c>
      <c r="R35">
        <v>0</v>
      </c>
      <c r="S35">
        <v>0</v>
      </c>
      <c r="T35">
        <v>25000</v>
      </c>
      <c r="U35">
        <v>375126.60000000003</v>
      </c>
      <c r="V35">
        <v>14500</v>
      </c>
      <c r="W35">
        <v>389626.60000000003</v>
      </c>
      <c r="X35">
        <v>0</v>
      </c>
      <c r="Y35">
        <v>10000</v>
      </c>
      <c r="Z35">
        <v>0</v>
      </c>
      <c r="AA35">
        <v>20160</v>
      </c>
      <c r="AB35">
        <v>9003.0384000000013</v>
      </c>
      <c r="AC35">
        <v>900</v>
      </c>
      <c r="AD35">
        <v>0</v>
      </c>
      <c r="AE35">
        <v>40063.038400000005</v>
      </c>
      <c r="AF35">
        <v>335063.56160000002</v>
      </c>
    </row>
    <row r="36" spans="1:32" x14ac:dyDescent="0.25">
      <c r="A36">
        <v>35</v>
      </c>
      <c r="B36" t="s">
        <v>185</v>
      </c>
      <c r="C36" t="s">
        <v>186</v>
      </c>
      <c r="D36" t="s">
        <v>187</v>
      </c>
      <c r="E36" t="s">
        <v>188</v>
      </c>
      <c r="F36" t="s">
        <v>189</v>
      </c>
      <c r="G36" t="s">
        <v>30</v>
      </c>
      <c r="H36" t="s">
        <v>35</v>
      </c>
      <c r="I36" t="s">
        <v>33</v>
      </c>
      <c r="J36">
        <v>2</v>
      </c>
      <c r="K36">
        <v>4</v>
      </c>
      <c r="L36">
        <v>350126.60000000003</v>
      </c>
      <c r="M36">
        <v>0</v>
      </c>
      <c r="N36">
        <v>0</v>
      </c>
      <c r="O36">
        <v>0</v>
      </c>
      <c r="P36">
        <v>0</v>
      </c>
      <c r="Q36">
        <v>2</v>
      </c>
      <c r="R36">
        <v>4040</v>
      </c>
      <c r="S36">
        <v>0</v>
      </c>
      <c r="T36">
        <v>0</v>
      </c>
      <c r="U36">
        <v>354166.60000000003</v>
      </c>
      <c r="V36">
        <v>0</v>
      </c>
      <c r="W36">
        <v>354166.60000000003</v>
      </c>
      <c r="X36">
        <v>0</v>
      </c>
      <c r="Y36">
        <v>0</v>
      </c>
      <c r="Z36">
        <v>0</v>
      </c>
      <c r="AA36">
        <v>19833.329600000001</v>
      </c>
      <c r="AC36">
        <v>2700</v>
      </c>
      <c r="AD36">
        <v>2416.6466666666674</v>
      </c>
      <c r="AE36">
        <v>24949.976266666668</v>
      </c>
      <c r="AF36">
        <v>329216.62373333337</v>
      </c>
    </row>
    <row r="37" spans="1:32" x14ac:dyDescent="0.25">
      <c r="A37">
        <v>36</v>
      </c>
      <c r="B37" t="s">
        <v>190</v>
      </c>
      <c r="C37" t="s">
        <v>191</v>
      </c>
      <c r="D37" t="s">
        <v>192</v>
      </c>
      <c r="E37" t="s">
        <v>193</v>
      </c>
      <c r="F37" t="s">
        <v>194</v>
      </c>
      <c r="G37" t="s">
        <v>30</v>
      </c>
      <c r="H37" t="s">
        <v>35</v>
      </c>
      <c r="I37" t="s">
        <v>33</v>
      </c>
      <c r="J37">
        <v>1</v>
      </c>
      <c r="K37">
        <v>6</v>
      </c>
      <c r="L37">
        <v>350126.60000000003</v>
      </c>
      <c r="M37">
        <v>0</v>
      </c>
      <c r="N37">
        <v>0</v>
      </c>
      <c r="O37">
        <v>0</v>
      </c>
      <c r="P37">
        <v>0</v>
      </c>
      <c r="Q37">
        <v>4</v>
      </c>
      <c r="R37">
        <v>8080</v>
      </c>
      <c r="S37">
        <v>0</v>
      </c>
      <c r="T37">
        <v>0</v>
      </c>
      <c r="U37">
        <v>358206.60000000003</v>
      </c>
      <c r="V37">
        <v>0</v>
      </c>
      <c r="W37">
        <v>358206.60000000003</v>
      </c>
      <c r="X37">
        <v>0</v>
      </c>
      <c r="Y37">
        <v>13000</v>
      </c>
      <c r="Z37">
        <v>0</v>
      </c>
      <c r="AA37">
        <v>20059.569600000003</v>
      </c>
      <c r="AC37">
        <v>1800</v>
      </c>
      <c r="AD37">
        <v>-4704.6866666666656</v>
      </c>
      <c r="AE37">
        <v>30154.882933333338</v>
      </c>
      <c r="AF37">
        <v>328051.71706666669</v>
      </c>
    </row>
    <row r="38" spans="1:32" x14ac:dyDescent="0.25">
      <c r="A38">
        <v>37</v>
      </c>
      <c r="B38" t="s">
        <v>195</v>
      </c>
      <c r="C38" t="s">
        <v>175</v>
      </c>
      <c r="D38" t="s">
        <v>196</v>
      </c>
      <c r="E38" s="1">
        <v>28501</v>
      </c>
      <c r="F38" t="s">
        <v>86</v>
      </c>
      <c r="G38" t="s">
        <v>30</v>
      </c>
      <c r="H38" t="s">
        <v>36</v>
      </c>
      <c r="I38" t="s">
        <v>32</v>
      </c>
      <c r="J38">
        <v>0</v>
      </c>
      <c r="K38">
        <v>0</v>
      </c>
      <c r="L38">
        <v>240062.05000000002</v>
      </c>
      <c r="M38">
        <v>10000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250062.05000000002</v>
      </c>
      <c r="V38">
        <v>0</v>
      </c>
      <c r="W38">
        <v>250062.05000000002</v>
      </c>
      <c r="X38">
        <v>3000</v>
      </c>
      <c r="Y38">
        <v>0</v>
      </c>
      <c r="Z38">
        <v>0</v>
      </c>
      <c r="AA38">
        <v>14003.474800000002</v>
      </c>
      <c r="AC38">
        <v>900</v>
      </c>
      <c r="AD38">
        <v>29518.615000000002</v>
      </c>
      <c r="AE38">
        <v>47422.089800000002</v>
      </c>
      <c r="AF38">
        <v>202639.96020000003</v>
      </c>
    </row>
    <row r="39" spans="1:32" x14ac:dyDescent="0.25">
      <c r="A39">
        <v>38</v>
      </c>
      <c r="B39" t="s">
        <v>197</v>
      </c>
      <c r="C39" t="s">
        <v>198</v>
      </c>
      <c r="D39" t="s">
        <v>196</v>
      </c>
      <c r="E39" t="s">
        <v>199</v>
      </c>
      <c r="F39" t="s">
        <v>91</v>
      </c>
      <c r="G39" t="s">
        <v>30</v>
      </c>
      <c r="H39" t="s">
        <v>34</v>
      </c>
      <c r="I39" t="s">
        <v>32</v>
      </c>
      <c r="J39">
        <v>0</v>
      </c>
      <c r="K39">
        <v>0</v>
      </c>
      <c r="L39">
        <v>469897.63000000006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10000</v>
      </c>
      <c r="T39">
        <v>0</v>
      </c>
      <c r="U39">
        <v>479897.63000000006</v>
      </c>
      <c r="V39">
        <v>15000</v>
      </c>
      <c r="W39">
        <v>494897.63000000006</v>
      </c>
      <c r="X39">
        <v>0</v>
      </c>
      <c r="Y39">
        <v>10000</v>
      </c>
      <c r="Z39">
        <v>0</v>
      </c>
      <c r="AA39">
        <v>20160</v>
      </c>
      <c r="AB39">
        <v>11517.543120000002</v>
      </c>
      <c r="AC39">
        <v>900</v>
      </c>
      <c r="AD39">
        <v>107297.50383333334</v>
      </c>
      <c r="AE39">
        <v>149875.04695333334</v>
      </c>
      <c r="AF39">
        <v>330022.5830466667</v>
      </c>
    </row>
    <row r="40" spans="1:32" x14ac:dyDescent="0.25">
      <c r="A40">
        <v>39</v>
      </c>
      <c r="B40" t="s">
        <v>200</v>
      </c>
      <c r="C40" t="s">
        <v>201</v>
      </c>
      <c r="D40" t="s">
        <v>202</v>
      </c>
      <c r="E40" t="s">
        <v>203</v>
      </c>
      <c r="F40" t="s">
        <v>66</v>
      </c>
      <c r="G40" t="s">
        <v>31</v>
      </c>
      <c r="H40" t="s">
        <v>36</v>
      </c>
      <c r="I40" t="s">
        <v>32</v>
      </c>
      <c r="J40">
        <v>0</v>
      </c>
      <c r="K40">
        <v>0</v>
      </c>
      <c r="L40">
        <v>240062.05000000002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240062.05000000002</v>
      </c>
      <c r="V40">
        <v>0</v>
      </c>
      <c r="W40">
        <v>240062.05000000002</v>
      </c>
      <c r="X40">
        <v>0</v>
      </c>
      <c r="Y40">
        <v>0</v>
      </c>
      <c r="Z40">
        <v>0</v>
      </c>
      <c r="AA40">
        <v>13443.474800000002</v>
      </c>
      <c r="AC40">
        <v>900</v>
      </c>
      <c r="AD40">
        <v>27413.030500000004</v>
      </c>
      <c r="AE40">
        <v>41756.505300000004</v>
      </c>
      <c r="AF40">
        <v>198305.54470000003</v>
      </c>
    </row>
    <row r="41" spans="1:32" x14ac:dyDescent="0.25">
      <c r="A41">
        <v>40</v>
      </c>
      <c r="B41" t="s">
        <v>204</v>
      </c>
      <c r="C41" t="s">
        <v>205</v>
      </c>
      <c r="D41" t="s">
        <v>202</v>
      </c>
      <c r="E41" t="s">
        <v>206</v>
      </c>
      <c r="F41" t="s">
        <v>57</v>
      </c>
      <c r="G41" t="s">
        <v>31</v>
      </c>
      <c r="H41" t="s">
        <v>36</v>
      </c>
      <c r="I41" t="s">
        <v>32</v>
      </c>
      <c r="J41">
        <v>0</v>
      </c>
      <c r="K41">
        <v>0</v>
      </c>
      <c r="L41">
        <v>240062.05000000002</v>
      </c>
      <c r="M41">
        <v>0</v>
      </c>
      <c r="N41">
        <v>8</v>
      </c>
      <c r="O41">
        <v>5</v>
      </c>
      <c r="P41">
        <v>0</v>
      </c>
      <c r="Q41">
        <v>0</v>
      </c>
      <c r="R41">
        <v>5540</v>
      </c>
      <c r="S41">
        <v>0</v>
      </c>
      <c r="T41">
        <v>0</v>
      </c>
      <c r="U41">
        <v>245602.05000000002</v>
      </c>
      <c r="V41">
        <v>0</v>
      </c>
      <c r="W41">
        <v>245602.05000000002</v>
      </c>
      <c r="X41">
        <v>5000</v>
      </c>
      <c r="Y41">
        <v>0</v>
      </c>
      <c r="Z41">
        <v>0</v>
      </c>
      <c r="AA41">
        <v>13753.714800000002</v>
      </c>
      <c r="AC41">
        <v>900</v>
      </c>
      <c r="AD41">
        <v>28576.430500000006</v>
      </c>
      <c r="AE41">
        <v>48230.145300000004</v>
      </c>
      <c r="AF41">
        <v>197371.90470000001</v>
      </c>
    </row>
    <row r="42" spans="1:32" x14ac:dyDescent="0.25">
      <c r="A42">
        <v>41</v>
      </c>
      <c r="B42" t="s">
        <v>207</v>
      </c>
      <c r="C42" t="s">
        <v>208</v>
      </c>
      <c r="D42" t="s">
        <v>209</v>
      </c>
      <c r="E42" t="s">
        <v>210</v>
      </c>
      <c r="F42" t="s">
        <v>42</v>
      </c>
      <c r="G42" t="s">
        <v>30</v>
      </c>
      <c r="H42" t="s">
        <v>34</v>
      </c>
      <c r="I42" t="s">
        <v>32</v>
      </c>
      <c r="J42">
        <v>0</v>
      </c>
      <c r="K42">
        <v>1</v>
      </c>
      <c r="L42">
        <v>469897.63000000006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469897.63000000006</v>
      </c>
      <c r="V42">
        <v>55000</v>
      </c>
      <c r="W42">
        <v>524897.63000000012</v>
      </c>
      <c r="X42">
        <v>2500</v>
      </c>
      <c r="Y42">
        <v>0</v>
      </c>
      <c r="Z42">
        <v>30000</v>
      </c>
      <c r="AA42">
        <v>20160</v>
      </c>
      <c r="AB42">
        <v>11277.543120000002</v>
      </c>
      <c r="AC42">
        <v>900</v>
      </c>
      <c r="AD42">
        <v>106017.75345000003</v>
      </c>
      <c r="AE42">
        <v>170855.29657000003</v>
      </c>
      <c r="AF42">
        <v>299042.33343</v>
      </c>
    </row>
    <row r="43" spans="1:32" x14ac:dyDescent="0.25">
      <c r="A43">
        <v>42</v>
      </c>
      <c r="B43" t="s">
        <v>211</v>
      </c>
      <c r="C43" t="s">
        <v>212</v>
      </c>
      <c r="D43" t="s">
        <v>213</v>
      </c>
      <c r="E43" t="s">
        <v>214</v>
      </c>
      <c r="F43" t="s">
        <v>215</v>
      </c>
      <c r="G43" t="s">
        <v>30</v>
      </c>
      <c r="H43" t="s">
        <v>36</v>
      </c>
      <c r="I43" t="s">
        <v>33</v>
      </c>
      <c r="J43">
        <v>2</v>
      </c>
      <c r="K43">
        <v>5</v>
      </c>
      <c r="L43">
        <v>240062.05000000002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240062.05000000002</v>
      </c>
      <c r="V43">
        <v>0</v>
      </c>
      <c r="W43">
        <v>240062.05000000002</v>
      </c>
      <c r="X43">
        <v>0</v>
      </c>
      <c r="Y43">
        <v>10000</v>
      </c>
      <c r="Z43">
        <v>0</v>
      </c>
      <c r="AA43">
        <v>13443.474800000002</v>
      </c>
      <c r="AC43">
        <v>2700</v>
      </c>
      <c r="AD43">
        <v>-39253.636166666663</v>
      </c>
      <c r="AE43">
        <v>-13110.16136666666</v>
      </c>
      <c r="AF43">
        <v>253172.21136666668</v>
      </c>
    </row>
    <row r="44" spans="1:32" x14ac:dyDescent="0.25">
      <c r="A44">
        <v>43</v>
      </c>
      <c r="B44" t="s">
        <v>216</v>
      </c>
      <c r="C44" t="s">
        <v>217</v>
      </c>
      <c r="D44" t="s">
        <v>218</v>
      </c>
      <c r="E44" t="s">
        <v>219</v>
      </c>
      <c r="F44" t="s">
        <v>220</v>
      </c>
      <c r="G44" t="s">
        <v>30</v>
      </c>
      <c r="H44" t="s">
        <v>36</v>
      </c>
      <c r="I44" t="s">
        <v>33</v>
      </c>
      <c r="J44">
        <v>1</v>
      </c>
      <c r="K44">
        <v>1</v>
      </c>
      <c r="L44">
        <v>240062.05000000002</v>
      </c>
      <c r="M44">
        <v>0</v>
      </c>
      <c r="N44">
        <v>8</v>
      </c>
      <c r="O44">
        <v>5</v>
      </c>
      <c r="P44">
        <v>0</v>
      </c>
      <c r="Q44">
        <v>3</v>
      </c>
      <c r="R44">
        <v>9695</v>
      </c>
      <c r="S44">
        <v>0</v>
      </c>
      <c r="T44">
        <v>20000</v>
      </c>
      <c r="U44">
        <v>269757.05000000005</v>
      </c>
      <c r="V44">
        <v>0</v>
      </c>
      <c r="W44">
        <v>269757.05000000005</v>
      </c>
      <c r="X44">
        <v>0</v>
      </c>
      <c r="Y44">
        <v>0</v>
      </c>
      <c r="Z44">
        <v>0</v>
      </c>
      <c r="AA44">
        <v>15106.394800000004</v>
      </c>
      <c r="AC44">
        <v>1800</v>
      </c>
      <c r="AD44">
        <v>10427.115000000011</v>
      </c>
      <c r="AE44">
        <v>27333.509800000014</v>
      </c>
      <c r="AF44">
        <v>242423.54020000005</v>
      </c>
    </row>
    <row r="45" spans="1:32" x14ac:dyDescent="0.25">
      <c r="A45">
        <v>44</v>
      </c>
      <c r="B45" t="s">
        <v>221</v>
      </c>
      <c r="C45" t="s">
        <v>222</v>
      </c>
      <c r="D45" t="s">
        <v>223</v>
      </c>
      <c r="E45" s="1">
        <v>27974</v>
      </c>
      <c r="F45" t="s">
        <v>176</v>
      </c>
      <c r="G45" t="s">
        <v>30</v>
      </c>
      <c r="H45" t="s">
        <v>35</v>
      </c>
      <c r="I45" t="s">
        <v>33</v>
      </c>
      <c r="J45">
        <v>1</v>
      </c>
      <c r="K45">
        <v>1</v>
      </c>
      <c r="L45">
        <v>350126.60000000003</v>
      </c>
      <c r="M45">
        <v>0</v>
      </c>
      <c r="N45">
        <v>0</v>
      </c>
      <c r="O45">
        <v>0</v>
      </c>
      <c r="P45">
        <v>0</v>
      </c>
      <c r="Q45">
        <v>2</v>
      </c>
      <c r="R45">
        <v>4040</v>
      </c>
      <c r="S45">
        <v>8500</v>
      </c>
      <c r="T45">
        <v>0</v>
      </c>
      <c r="U45">
        <v>362666.60000000003</v>
      </c>
      <c r="V45">
        <v>0</v>
      </c>
      <c r="W45">
        <v>362666.60000000003</v>
      </c>
      <c r="X45">
        <v>2500</v>
      </c>
      <c r="Y45">
        <v>0</v>
      </c>
      <c r="Z45">
        <v>0</v>
      </c>
      <c r="AA45">
        <v>20160</v>
      </c>
      <c r="AB45">
        <v>8703.9984000000004</v>
      </c>
      <c r="AC45">
        <v>1800</v>
      </c>
      <c r="AD45">
        <v>38299.980000000003</v>
      </c>
      <c r="AE45">
        <v>71463.978400000007</v>
      </c>
      <c r="AF45">
        <v>291202.62160000001</v>
      </c>
    </row>
    <row r="46" spans="1:32" x14ac:dyDescent="0.25">
      <c r="A46">
        <v>45</v>
      </c>
      <c r="B46" t="s">
        <v>224</v>
      </c>
      <c r="C46" t="s">
        <v>225</v>
      </c>
      <c r="D46" t="s">
        <v>226</v>
      </c>
      <c r="E46" t="s">
        <v>227</v>
      </c>
      <c r="F46" t="s">
        <v>228</v>
      </c>
      <c r="G46" t="s">
        <v>31</v>
      </c>
      <c r="H46" t="s">
        <v>35</v>
      </c>
      <c r="I46" t="s">
        <v>33</v>
      </c>
      <c r="J46">
        <v>0</v>
      </c>
      <c r="K46">
        <v>2</v>
      </c>
      <c r="L46">
        <v>350126.60000000003</v>
      </c>
      <c r="M46">
        <v>15000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365126.60000000003</v>
      </c>
      <c r="V46">
        <v>31500</v>
      </c>
      <c r="W46">
        <v>396626.60000000003</v>
      </c>
      <c r="X46">
        <v>0</v>
      </c>
      <c r="Y46">
        <v>0</v>
      </c>
      <c r="Z46">
        <v>0</v>
      </c>
      <c r="AA46">
        <v>20160</v>
      </c>
      <c r="AB46">
        <v>8763.0384000000013</v>
      </c>
      <c r="AC46">
        <v>900</v>
      </c>
      <c r="AD46">
        <v>0</v>
      </c>
      <c r="AE46">
        <v>29823.038400000001</v>
      </c>
      <c r="AF46">
        <v>335303.56160000002</v>
      </c>
    </row>
    <row r="47" spans="1:32" x14ac:dyDescent="0.25">
      <c r="A47">
        <v>46</v>
      </c>
      <c r="B47" t="s">
        <v>229</v>
      </c>
      <c r="C47" t="s">
        <v>230</v>
      </c>
      <c r="D47" t="s">
        <v>231</v>
      </c>
      <c r="E47" t="s">
        <v>232</v>
      </c>
      <c r="F47" t="s">
        <v>109</v>
      </c>
      <c r="G47" t="s">
        <v>30</v>
      </c>
      <c r="H47" t="s">
        <v>35</v>
      </c>
      <c r="I47" t="s">
        <v>33</v>
      </c>
      <c r="J47">
        <v>1</v>
      </c>
      <c r="K47">
        <v>1</v>
      </c>
      <c r="L47">
        <v>350126.60000000003</v>
      </c>
      <c r="M47">
        <v>0</v>
      </c>
      <c r="N47">
        <v>8</v>
      </c>
      <c r="O47">
        <v>5</v>
      </c>
      <c r="P47">
        <v>0</v>
      </c>
      <c r="Q47">
        <v>4</v>
      </c>
      <c r="R47">
        <v>16160</v>
      </c>
      <c r="S47">
        <v>0</v>
      </c>
      <c r="T47">
        <v>0</v>
      </c>
      <c r="U47">
        <v>366286.60000000003</v>
      </c>
      <c r="V47">
        <v>0</v>
      </c>
      <c r="W47">
        <v>366286.60000000003</v>
      </c>
      <c r="X47">
        <v>0</v>
      </c>
      <c r="Y47">
        <v>15000</v>
      </c>
      <c r="Z47">
        <v>0</v>
      </c>
      <c r="AA47">
        <v>20160</v>
      </c>
      <c r="AB47">
        <v>8790.8784000000014</v>
      </c>
      <c r="AC47">
        <v>1800</v>
      </c>
      <c r="AD47">
        <v>39385.980000000003</v>
      </c>
      <c r="AE47">
        <v>85136.858399999997</v>
      </c>
      <c r="AF47">
        <v>281149.74160000007</v>
      </c>
    </row>
    <row r="48" spans="1:32" x14ac:dyDescent="0.25">
      <c r="A48">
        <v>47</v>
      </c>
      <c r="B48" t="s">
        <v>233</v>
      </c>
      <c r="C48" t="s">
        <v>234</v>
      </c>
      <c r="D48" t="s">
        <v>235</v>
      </c>
      <c r="E48" t="s">
        <v>236</v>
      </c>
      <c r="F48" t="s">
        <v>134</v>
      </c>
      <c r="G48" t="s">
        <v>30</v>
      </c>
      <c r="H48" t="s">
        <v>35</v>
      </c>
      <c r="I48" t="s">
        <v>33</v>
      </c>
      <c r="J48">
        <v>2</v>
      </c>
      <c r="K48">
        <v>5</v>
      </c>
      <c r="L48">
        <v>350126.60000000003</v>
      </c>
      <c r="M48">
        <v>0</v>
      </c>
      <c r="N48">
        <v>8</v>
      </c>
      <c r="O48">
        <v>0</v>
      </c>
      <c r="P48">
        <v>3</v>
      </c>
      <c r="Q48">
        <v>0</v>
      </c>
      <c r="R48">
        <v>3636</v>
      </c>
      <c r="S48">
        <v>0</v>
      </c>
      <c r="T48">
        <v>0</v>
      </c>
      <c r="U48">
        <v>353762.60000000003</v>
      </c>
      <c r="V48">
        <v>25000</v>
      </c>
      <c r="W48">
        <v>378762.60000000003</v>
      </c>
      <c r="X48">
        <v>0</v>
      </c>
      <c r="Y48">
        <v>0</v>
      </c>
      <c r="Z48">
        <v>0</v>
      </c>
      <c r="AA48">
        <v>19810.705600000001</v>
      </c>
      <c r="AC48">
        <v>2700</v>
      </c>
      <c r="AD48">
        <v>1462.1133333333321</v>
      </c>
      <c r="AE48">
        <v>23972.818933333332</v>
      </c>
      <c r="AF48">
        <v>329789.78106666671</v>
      </c>
    </row>
    <row r="49" spans="1:32" x14ac:dyDescent="0.25">
      <c r="A49">
        <v>48</v>
      </c>
      <c r="B49" t="s">
        <v>237</v>
      </c>
      <c r="C49" t="s">
        <v>238</v>
      </c>
      <c r="D49" t="s">
        <v>235</v>
      </c>
      <c r="E49" t="s">
        <v>239</v>
      </c>
      <c r="F49" t="s">
        <v>155</v>
      </c>
      <c r="G49" t="s">
        <v>31</v>
      </c>
      <c r="H49" t="s">
        <v>35</v>
      </c>
      <c r="I49" t="s">
        <v>33</v>
      </c>
      <c r="J49">
        <v>0</v>
      </c>
      <c r="K49">
        <v>2</v>
      </c>
      <c r="L49">
        <v>350126.60000000003</v>
      </c>
      <c r="M49">
        <v>9500</v>
      </c>
      <c r="N49">
        <v>0</v>
      </c>
      <c r="O49">
        <v>0</v>
      </c>
      <c r="P49">
        <v>0</v>
      </c>
      <c r="Q49">
        <v>0</v>
      </c>
      <c r="R49">
        <v>0</v>
      </c>
      <c r="S49">
        <v>5000</v>
      </c>
      <c r="T49">
        <v>25000</v>
      </c>
      <c r="U49">
        <v>389626.60000000003</v>
      </c>
      <c r="V49">
        <v>0</v>
      </c>
      <c r="W49">
        <v>389626.60000000003</v>
      </c>
      <c r="X49">
        <v>3000</v>
      </c>
      <c r="Y49">
        <v>14500</v>
      </c>
      <c r="Z49">
        <v>0</v>
      </c>
      <c r="AA49">
        <v>20160</v>
      </c>
      <c r="AB49">
        <v>9351.0384000000013</v>
      </c>
      <c r="AC49">
        <v>900</v>
      </c>
      <c r="AD49">
        <v>0</v>
      </c>
      <c r="AE49">
        <v>47911.038400000005</v>
      </c>
      <c r="AF49">
        <v>341715.56160000002</v>
      </c>
    </row>
    <row r="50" spans="1:32" x14ac:dyDescent="0.25">
      <c r="A50">
        <v>49</v>
      </c>
      <c r="B50" t="s">
        <v>240</v>
      </c>
      <c r="C50" t="s">
        <v>241</v>
      </c>
      <c r="D50" t="s">
        <v>242</v>
      </c>
      <c r="E50" t="s">
        <v>243</v>
      </c>
      <c r="F50" t="s">
        <v>42</v>
      </c>
      <c r="G50" t="s">
        <v>30</v>
      </c>
      <c r="H50" t="s">
        <v>35</v>
      </c>
      <c r="I50" t="s">
        <v>33</v>
      </c>
      <c r="J50">
        <v>2</v>
      </c>
      <c r="K50">
        <v>5</v>
      </c>
      <c r="L50">
        <v>350126.60000000003</v>
      </c>
      <c r="M50">
        <v>0</v>
      </c>
      <c r="N50">
        <v>8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350126.60000000003</v>
      </c>
      <c r="V50">
        <v>0</v>
      </c>
      <c r="W50">
        <v>350126.60000000003</v>
      </c>
      <c r="X50">
        <v>0</v>
      </c>
      <c r="Y50">
        <v>0</v>
      </c>
      <c r="Z50">
        <v>0</v>
      </c>
      <c r="AA50">
        <v>19607.089600000003</v>
      </c>
      <c r="AC50">
        <v>2700</v>
      </c>
      <c r="AD50">
        <v>-7128.6866666666656</v>
      </c>
      <c r="AE50">
        <v>15178.402933333338</v>
      </c>
      <c r="AF50">
        <v>334948.19706666667</v>
      </c>
    </row>
    <row r="51" spans="1:32" x14ac:dyDescent="0.25">
      <c r="A51">
        <v>50</v>
      </c>
      <c r="B51" t="s">
        <v>244</v>
      </c>
      <c r="C51" t="s">
        <v>245</v>
      </c>
      <c r="D51" t="s">
        <v>246</v>
      </c>
      <c r="E51" t="s">
        <v>247</v>
      </c>
      <c r="F51" t="s">
        <v>131</v>
      </c>
      <c r="G51" t="s">
        <v>30</v>
      </c>
      <c r="H51" t="s">
        <v>35</v>
      </c>
      <c r="I51" t="s">
        <v>32</v>
      </c>
      <c r="J51">
        <v>0</v>
      </c>
      <c r="K51">
        <v>0</v>
      </c>
      <c r="L51">
        <v>350126.60000000003</v>
      </c>
      <c r="M51">
        <v>0</v>
      </c>
      <c r="N51">
        <v>8</v>
      </c>
      <c r="O51">
        <v>2</v>
      </c>
      <c r="P51">
        <v>3</v>
      </c>
      <c r="Q51">
        <v>0</v>
      </c>
      <c r="R51">
        <v>6868</v>
      </c>
      <c r="S51">
        <v>7000</v>
      </c>
      <c r="T51">
        <v>0</v>
      </c>
      <c r="U51">
        <v>363994.60000000003</v>
      </c>
      <c r="V51">
        <v>0</v>
      </c>
      <c r="W51">
        <v>363994.60000000003</v>
      </c>
      <c r="X51">
        <v>3000</v>
      </c>
      <c r="Y51">
        <v>13500</v>
      </c>
      <c r="Z51">
        <v>0</v>
      </c>
      <c r="AA51">
        <v>20160</v>
      </c>
      <c r="AB51">
        <v>8735.8704000000016</v>
      </c>
      <c r="AC51">
        <v>900</v>
      </c>
      <c r="AD51">
        <v>63698.380000000005</v>
      </c>
      <c r="AE51">
        <v>109994.2504</v>
      </c>
      <c r="AF51">
        <v>254000.34960000002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C26" sqref="C26"/>
    </sheetView>
  </sheetViews>
  <sheetFormatPr baseColWidth="10"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2"/>
  <sheetViews>
    <sheetView workbookViewId="0">
      <selection activeCell="D25" sqref="D25"/>
    </sheetView>
  </sheetViews>
  <sheetFormatPr baseColWidth="10" defaultRowHeight="15" x14ac:dyDescent="0.25"/>
  <sheetData>
    <row r="1" spans="1:1" x14ac:dyDescent="0.25">
      <c r="A1" t="s">
        <v>32</v>
      </c>
    </row>
    <row r="2" spans="1:1" x14ac:dyDescent="0.25">
      <c r="A2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3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O52"/>
  <sheetViews>
    <sheetView showWhiteSpace="0" topLeftCell="A12" zoomScaleNormal="100" workbookViewId="0">
      <selection activeCell="P52" sqref="P52"/>
    </sheetView>
  </sheetViews>
  <sheetFormatPr baseColWidth="10" defaultRowHeight="15" x14ac:dyDescent="0.25"/>
  <cols>
    <col min="21" max="21" width="0" hidden="1" customWidth="1"/>
  </cols>
  <sheetData>
    <row r="1" spans="1:15" x14ac:dyDescent="0.25">
      <c r="A1" t="s">
        <v>2</v>
      </c>
      <c r="B1" t="s">
        <v>3</v>
      </c>
      <c r="C1" t="s">
        <v>16</v>
      </c>
      <c r="D1" t="s">
        <v>18</v>
      </c>
      <c r="E1" t="s">
        <v>23</v>
      </c>
      <c r="F1" t="s">
        <v>19</v>
      </c>
      <c r="G1" t="s">
        <v>20</v>
      </c>
      <c r="H1" t="s">
        <v>21</v>
      </c>
      <c r="I1" t="s">
        <v>24</v>
      </c>
      <c r="J1" t="s">
        <v>25</v>
      </c>
      <c r="K1" t="s">
        <v>26</v>
      </c>
      <c r="L1" t="s">
        <v>38</v>
      </c>
      <c r="M1" t="s">
        <v>28</v>
      </c>
      <c r="N1" t="s">
        <v>29</v>
      </c>
      <c r="O1" t="s">
        <v>296</v>
      </c>
    </row>
    <row r="2" spans="1:15" x14ac:dyDescent="0.25">
      <c r="A2" t="s">
        <v>40</v>
      </c>
      <c r="B2" t="s">
        <v>41</v>
      </c>
      <c r="C2">
        <v>0</v>
      </c>
      <c r="D2">
        <v>17500</v>
      </c>
      <c r="E2">
        <v>375706.60000000003</v>
      </c>
      <c r="F2">
        <v>4500</v>
      </c>
      <c r="G2">
        <v>25000</v>
      </c>
      <c r="H2">
        <v>0</v>
      </c>
      <c r="I2">
        <v>20160</v>
      </c>
      <c r="J2">
        <v>9016.9584000000013</v>
      </c>
      <c r="K2">
        <v>1800</v>
      </c>
      <c r="L2">
        <v>25545.313333333335</v>
      </c>
      <c r="M2">
        <v>86022.271733333342</v>
      </c>
      <c r="N2">
        <v>289684.32826666668</v>
      </c>
    </row>
    <row r="3" spans="1:15" x14ac:dyDescent="0.25">
      <c r="A3" t="s">
        <v>44</v>
      </c>
      <c r="B3" t="s">
        <v>45</v>
      </c>
      <c r="C3">
        <v>15000</v>
      </c>
      <c r="D3">
        <v>12500</v>
      </c>
      <c r="E3">
        <v>390150.60000000003</v>
      </c>
      <c r="F3">
        <v>0</v>
      </c>
      <c r="G3">
        <v>0</v>
      </c>
      <c r="H3">
        <v>0</v>
      </c>
      <c r="I3">
        <v>20160</v>
      </c>
      <c r="J3">
        <v>9363.6144000000004</v>
      </c>
      <c r="K3">
        <v>900</v>
      </c>
      <c r="L3">
        <v>71545.180000000008</v>
      </c>
      <c r="M3">
        <v>101968.79440000001</v>
      </c>
      <c r="N3">
        <v>288181.80560000002</v>
      </c>
    </row>
    <row r="4" spans="1:15" x14ac:dyDescent="0.25">
      <c r="A4" t="s">
        <v>49</v>
      </c>
      <c r="B4" t="s">
        <v>50</v>
      </c>
      <c r="C4">
        <v>0</v>
      </c>
      <c r="D4">
        <v>20000</v>
      </c>
      <c r="E4">
        <v>381438.60000000003</v>
      </c>
      <c r="F4">
        <v>5000</v>
      </c>
      <c r="G4">
        <v>0</v>
      </c>
      <c r="H4">
        <v>0</v>
      </c>
      <c r="I4">
        <v>20160</v>
      </c>
      <c r="J4">
        <v>9154.5264000000006</v>
      </c>
      <c r="K4">
        <v>2700</v>
      </c>
      <c r="L4">
        <v>2264.9133333333398</v>
      </c>
      <c r="M4">
        <v>39279.43973333334</v>
      </c>
      <c r="N4">
        <v>342159.16026666667</v>
      </c>
    </row>
    <row r="5" spans="1:15" x14ac:dyDescent="0.25">
      <c r="A5" t="s">
        <v>54</v>
      </c>
      <c r="B5" t="s">
        <v>55</v>
      </c>
      <c r="C5">
        <v>10000</v>
      </c>
      <c r="D5">
        <v>0</v>
      </c>
      <c r="E5">
        <v>254494.05000000002</v>
      </c>
      <c r="F5">
        <v>0</v>
      </c>
      <c r="G5">
        <v>0</v>
      </c>
      <c r="H5">
        <v>0</v>
      </c>
      <c r="I5">
        <v>14251.666800000001</v>
      </c>
      <c r="K5">
        <v>1800</v>
      </c>
      <c r="L5">
        <v>5848.2150000000011</v>
      </c>
      <c r="M5">
        <v>21899.881800000003</v>
      </c>
      <c r="N5">
        <v>232594.16820000001</v>
      </c>
    </row>
    <row r="6" spans="1:15" x14ac:dyDescent="0.25">
      <c r="A6" t="s">
        <v>59</v>
      </c>
      <c r="B6" t="s">
        <v>60</v>
      </c>
      <c r="C6">
        <v>0</v>
      </c>
      <c r="D6">
        <v>0</v>
      </c>
      <c r="E6">
        <v>265588.05000000005</v>
      </c>
      <c r="F6">
        <v>3500</v>
      </c>
      <c r="G6">
        <v>30000</v>
      </c>
      <c r="H6">
        <v>20000</v>
      </c>
      <c r="I6">
        <v>14872.930800000004</v>
      </c>
      <c r="K6">
        <v>900</v>
      </c>
      <c r="L6">
        <v>36343.081666666687</v>
      </c>
      <c r="M6">
        <v>105616.0124666667</v>
      </c>
      <c r="N6">
        <v>159972.03753333335</v>
      </c>
    </row>
    <row r="7" spans="1:15" x14ac:dyDescent="0.25">
      <c r="A7" t="s">
        <v>64</v>
      </c>
      <c r="B7" t="s">
        <v>65</v>
      </c>
      <c r="C7">
        <v>0</v>
      </c>
      <c r="D7">
        <v>0</v>
      </c>
      <c r="E7">
        <v>240062.05000000002</v>
      </c>
      <c r="F7">
        <v>2500</v>
      </c>
      <c r="G7">
        <v>0</v>
      </c>
      <c r="H7">
        <v>0</v>
      </c>
      <c r="I7">
        <v>13443.474800000002</v>
      </c>
      <c r="K7">
        <v>900</v>
      </c>
      <c r="L7">
        <v>27413.030500000004</v>
      </c>
      <c r="M7">
        <v>44256.505300000004</v>
      </c>
      <c r="N7">
        <v>195805.54470000003</v>
      </c>
    </row>
    <row r="8" spans="1:15" x14ac:dyDescent="0.25">
      <c r="A8" t="s">
        <v>68</v>
      </c>
      <c r="B8" t="s">
        <v>69</v>
      </c>
      <c r="C8">
        <v>10000</v>
      </c>
      <c r="D8">
        <v>0</v>
      </c>
      <c r="E8">
        <v>479897.63000000006</v>
      </c>
      <c r="F8">
        <v>0</v>
      </c>
      <c r="G8">
        <v>0</v>
      </c>
      <c r="H8">
        <v>0</v>
      </c>
      <c r="I8">
        <v>20160</v>
      </c>
      <c r="J8">
        <v>11517.543120000002</v>
      </c>
      <c r="K8">
        <v>900</v>
      </c>
      <c r="L8">
        <v>0</v>
      </c>
      <c r="M8">
        <v>32577.543120000002</v>
      </c>
      <c r="N8">
        <v>447320.08688000008</v>
      </c>
    </row>
    <row r="9" spans="1:15" x14ac:dyDescent="0.25">
      <c r="A9" t="s">
        <v>73</v>
      </c>
      <c r="B9" t="s">
        <v>74</v>
      </c>
      <c r="C9">
        <v>0</v>
      </c>
      <c r="D9">
        <v>0</v>
      </c>
      <c r="E9">
        <v>469897.63000000006</v>
      </c>
      <c r="F9">
        <v>3000</v>
      </c>
      <c r="G9">
        <v>0</v>
      </c>
      <c r="H9">
        <v>0</v>
      </c>
      <c r="I9">
        <v>20160</v>
      </c>
      <c r="J9">
        <v>11277.543120000002</v>
      </c>
      <c r="K9">
        <v>900</v>
      </c>
      <c r="L9">
        <v>98547.503833333336</v>
      </c>
      <c r="M9">
        <v>133885.04695333334</v>
      </c>
      <c r="N9">
        <v>336012.5830466667</v>
      </c>
    </row>
    <row r="10" spans="1:15" x14ac:dyDescent="0.25">
      <c r="A10" t="s">
        <v>77</v>
      </c>
      <c r="B10" t="s">
        <v>74</v>
      </c>
      <c r="C10">
        <v>0</v>
      </c>
      <c r="D10">
        <v>0</v>
      </c>
      <c r="E10">
        <v>469897.63000000006</v>
      </c>
      <c r="F10">
        <v>3000</v>
      </c>
      <c r="G10">
        <v>55000</v>
      </c>
      <c r="H10">
        <v>0</v>
      </c>
      <c r="I10">
        <v>20160</v>
      </c>
      <c r="J10">
        <v>11277.543120000002</v>
      </c>
      <c r="K10">
        <v>3600</v>
      </c>
      <c r="L10">
        <v>45005.837166666672</v>
      </c>
      <c r="M10">
        <v>138043.38028666668</v>
      </c>
      <c r="N10">
        <v>331854.24971333338</v>
      </c>
    </row>
    <row r="11" spans="1:15" x14ac:dyDescent="0.25">
      <c r="A11" t="s">
        <v>79</v>
      </c>
      <c r="B11" t="s">
        <v>80</v>
      </c>
      <c r="C11">
        <v>0</v>
      </c>
      <c r="D11">
        <v>0</v>
      </c>
      <c r="E11">
        <v>469897.63000000006</v>
      </c>
      <c r="F11">
        <v>0</v>
      </c>
      <c r="G11">
        <v>0</v>
      </c>
      <c r="H11">
        <v>0</v>
      </c>
      <c r="I11">
        <v>20160</v>
      </c>
      <c r="J11">
        <v>11277.543120000002</v>
      </c>
      <c r="K11">
        <v>900</v>
      </c>
      <c r="L11">
        <v>116047.50383333334</v>
      </c>
      <c r="M11">
        <v>148385.04695333331</v>
      </c>
      <c r="N11">
        <v>321512.58304666675</v>
      </c>
    </row>
    <row r="12" spans="1:15" x14ac:dyDescent="0.25">
      <c r="A12" t="s">
        <v>83</v>
      </c>
      <c r="B12" t="s">
        <v>84</v>
      </c>
      <c r="C12">
        <v>0</v>
      </c>
      <c r="D12">
        <v>25000</v>
      </c>
      <c r="E12">
        <v>382802.60000000003</v>
      </c>
      <c r="F12">
        <v>3000</v>
      </c>
      <c r="G12">
        <v>0</v>
      </c>
      <c r="H12">
        <v>0</v>
      </c>
      <c r="I12">
        <v>20160</v>
      </c>
      <c r="J12">
        <v>9187.2623999999996</v>
      </c>
      <c r="K12">
        <v>900</v>
      </c>
      <c r="L12">
        <v>69340.78</v>
      </c>
      <c r="M12">
        <v>102588.04240000001</v>
      </c>
      <c r="N12">
        <v>280214.55760000006</v>
      </c>
    </row>
    <row r="13" spans="1:15" x14ac:dyDescent="0.25">
      <c r="A13" t="s">
        <v>88</v>
      </c>
      <c r="B13" t="s">
        <v>89</v>
      </c>
      <c r="C13">
        <v>0</v>
      </c>
      <c r="D13">
        <v>0</v>
      </c>
      <c r="E13">
        <v>352550.60000000003</v>
      </c>
      <c r="F13">
        <v>0</v>
      </c>
      <c r="G13">
        <v>17500</v>
      </c>
      <c r="H13">
        <v>0</v>
      </c>
      <c r="I13">
        <v>19742.833600000002</v>
      </c>
      <c r="K13">
        <v>900</v>
      </c>
      <c r="L13">
        <v>60265.18</v>
      </c>
      <c r="M13">
        <v>98408.013600000006</v>
      </c>
      <c r="N13">
        <v>254142.58640000003</v>
      </c>
    </row>
    <row r="14" spans="1:15" x14ac:dyDescent="0.25">
      <c r="A14" t="s">
        <v>93</v>
      </c>
      <c r="B14" t="s">
        <v>94</v>
      </c>
      <c r="C14">
        <v>0</v>
      </c>
      <c r="D14">
        <v>17000</v>
      </c>
      <c r="E14">
        <v>384902.60000000003</v>
      </c>
      <c r="F14">
        <v>3000</v>
      </c>
      <c r="G14">
        <v>0</v>
      </c>
      <c r="H14">
        <v>15000</v>
      </c>
      <c r="I14">
        <v>20160</v>
      </c>
      <c r="J14">
        <v>9237.6624000000011</v>
      </c>
      <c r="K14">
        <v>900</v>
      </c>
      <c r="L14">
        <v>61637.446666666663</v>
      </c>
      <c r="M14">
        <v>109935.10906666666</v>
      </c>
      <c r="N14">
        <v>274967.49093333341</v>
      </c>
    </row>
    <row r="15" spans="1:15" x14ac:dyDescent="0.25">
      <c r="A15" t="s">
        <v>98</v>
      </c>
      <c r="B15" t="s">
        <v>99</v>
      </c>
      <c r="C15">
        <v>0</v>
      </c>
      <c r="D15">
        <v>0</v>
      </c>
      <c r="E15">
        <v>240062.05000000002</v>
      </c>
      <c r="F15">
        <v>2500</v>
      </c>
      <c r="G15">
        <v>0</v>
      </c>
      <c r="H15">
        <v>0</v>
      </c>
      <c r="I15">
        <v>13443.474800000002</v>
      </c>
      <c r="K15">
        <v>900</v>
      </c>
      <c r="L15">
        <v>27413.030500000004</v>
      </c>
      <c r="M15">
        <v>44256.505300000004</v>
      </c>
      <c r="N15">
        <v>195805.54470000003</v>
      </c>
    </row>
    <row r="16" spans="1:15" x14ac:dyDescent="0.25">
      <c r="A16" t="s">
        <v>103</v>
      </c>
      <c r="B16" t="s">
        <v>99</v>
      </c>
      <c r="C16">
        <v>0</v>
      </c>
      <c r="D16">
        <v>0</v>
      </c>
      <c r="E16">
        <v>245602.05000000002</v>
      </c>
      <c r="F16">
        <v>0</v>
      </c>
      <c r="G16">
        <v>0</v>
      </c>
      <c r="H16">
        <v>0</v>
      </c>
      <c r="I16">
        <v>13753.714800000002</v>
      </c>
      <c r="K16">
        <v>900</v>
      </c>
      <c r="L16">
        <v>28576.430500000006</v>
      </c>
      <c r="M16">
        <v>43230.145300000004</v>
      </c>
      <c r="N16">
        <v>202371.90470000001</v>
      </c>
    </row>
    <row r="17" spans="1:14" x14ac:dyDescent="0.25">
      <c r="A17" t="s">
        <v>106</v>
      </c>
      <c r="B17" t="s">
        <v>107</v>
      </c>
      <c r="C17">
        <v>10000</v>
      </c>
      <c r="D17">
        <v>0</v>
      </c>
      <c r="E17">
        <v>258372.05000000002</v>
      </c>
      <c r="F17">
        <v>0</v>
      </c>
      <c r="G17">
        <v>0</v>
      </c>
      <c r="H17">
        <v>0</v>
      </c>
      <c r="I17">
        <v>14468.834800000001</v>
      </c>
      <c r="K17">
        <v>1800</v>
      </c>
      <c r="L17">
        <v>-17988.384999999998</v>
      </c>
      <c r="M17">
        <v>-1719.5501999999979</v>
      </c>
      <c r="N17">
        <v>260091.60020000002</v>
      </c>
    </row>
    <row r="18" spans="1:14" x14ac:dyDescent="0.25">
      <c r="A18" t="s">
        <v>111</v>
      </c>
      <c r="B18" t="s">
        <v>107</v>
      </c>
      <c r="C18">
        <v>0</v>
      </c>
      <c r="D18">
        <v>0</v>
      </c>
      <c r="E18">
        <v>246433.05000000002</v>
      </c>
      <c r="F18">
        <v>0</v>
      </c>
      <c r="G18">
        <v>20000</v>
      </c>
      <c r="H18">
        <v>0</v>
      </c>
      <c r="I18">
        <v>13800.250800000002</v>
      </c>
      <c r="K18">
        <v>1800</v>
      </c>
      <c r="L18">
        <v>-12915.726166666665</v>
      </c>
      <c r="M18">
        <v>22684.524633333334</v>
      </c>
      <c r="N18">
        <v>223748.52536666667</v>
      </c>
    </row>
    <row r="19" spans="1:14" x14ac:dyDescent="0.25">
      <c r="A19" t="s">
        <v>115</v>
      </c>
      <c r="B19" t="s">
        <v>116</v>
      </c>
      <c r="C19">
        <v>10000</v>
      </c>
      <c r="D19">
        <v>0</v>
      </c>
      <c r="E19">
        <v>479897.63000000006</v>
      </c>
      <c r="F19">
        <v>0</v>
      </c>
      <c r="G19">
        <v>15000</v>
      </c>
      <c r="H19">
        <v>0</v>
      </c>
      <c r="I19">
        <v>20160</v>
      </c>
      <c r="J19">
        <v>11517.543120000002</v>
      </c>
      <c r="K19">
        <v>2700</v>
      </c>
      <c r="L19">
        <v>58130.837166666715</v>
      </c>
      <c r="M19">
        <v>107508.38028666672</v>
      </c>
      <c r="N19">
        <v>372389.24971333332</v>
      </c>
    </row>
    <row r="20" spans="1:14" x14ac:dyDescent="0.25">
      <c r="A20" t="s">
        <v>120</v>
      </c>
      <c r="B20" t="s">
        <v>121</v>
      </c>
      <c r="C20">
        <v>0</v>
      </c>
      <c r="D20">
        <v>0</v>
      </c>
      <c r="E20">
        <v>251142.05000000002</v>
      </c>
      <c r="F20">
        <v>3000</v>
      </c>
      <c r="G20">
        <v>0</v>
      </c>
      <c r="H20">
        <v>0</v>
      </c>
      <c r="I20">
        <v>14063.954800000001</v>
      </c>
      <c r="K20">
        <v>1800</v>
      </c>
      <c r="L20">
        <v>4842.6150000000007</v>
      </c>
      <c r="M20">
        <v>23706.569800000001</v>
      </c>
      <c r="N20">
        <v>227435.48020000002</v>
      </c>
    </row>
    <row r="21" spans="1:14" x14ac:dyDescent="0.25">
      <c r="A21" t="s">
        <v>125</v>
      </c>
      <c r="B21" t="s">
        <v>121</v>
      </c>
      <c r="C21">
        <v>0</v>
      </c>
      <c r="D21">
        <v>0</v>
      </c>
      <c r="E21">
        <v>368474.60000000003</v>
      </c>
      <c r="F21">
        <v>2500</v>
      </c>
      <c r="G21">
        <v>0</v>
      </c>
      <c r="H21">
        <v>0</v>
      </c>
      <c r="I21">
        <v>20160</v>
      </c>
      <c r="J21">
        <v>8843.3904000000002</v>
      </c>
      <c r="K21">
        <v>1800</v>
      </c>
      <c r="L21">
        <v>23375.713333333337</v>
      </c>
      <c r="M21">
        <v>56679.103733333337</v>
      </c>
      <c r="N21">
        <v>311795.49626666668</v>
      </c>
    </row>
    <row r="22" spans="1:14" x14ac:dyDescent="0.25">
      <c r="A22" t="s">
        <v>129</v>
      </c>
      <c r="B22" t="s">
        <v>130</v>
      </c>
      <c r="C22">
        <v>0</v>
      </c>
      <c r="D22">
        <v>20000</v>
      </c>
      <c r="E22">
        <v>393558.60000000003</v>
      </c>
      <c r="F22">
        <v>0</v>
      </c>
      <c r="G22">
        <v>0</v>
      </c>
      <c r="H22">
        <v>0</v>
      </c>
      <c r="I22">
        <v>20160</v>
      </c>
      <c r="J22">
        <v>9445.4064000000017</v>
      </c>
      <c r="K22">
        <v>2700</v>
      </c>
      <c r="L22">
        <v>14234.246666666673</v>
      </c>
      <c r="M22">
        <v>46539.653066666673</v>
      </c>
      <c r="N22">
        <v>347018.94693333335</v>
      </c>
    </row>
    <row r="23" spans="1:14" x14ac:dyDescent="0.25">
      <c r="A23" t="s">
        <v>133</v>
      </c>
      <c r="B23" t="s">
        <v>130</v>
      </c>
      <c r="C23">
        <v>10000</v>
      </c>
      <c r="D23">
        <v>0</v>
      </c>
      <c r="E23">
        <v>360126.60000000003</v>
      </c>
      <c r="F23">
        <v>0</v>
      </c>
      <c r="G23">
        <v>0</v>
      </c>
      <c r="H23">
        <v>0</v>
      </c>
      <c r="I23">
        <v>20160</v>
      </c>
      <c r="J23">
        <v>8643.0384000000013</v>
      </c>
      <c r="K23">
        <v>900</v>
      </c>
      <c r="L23">
        <v>0</v>
      </c>
      <c r="M23">
        <v>29703.038400000001</v>
      </c>
      <c r="N23">
        <v>330423.56160000002</v>
      </c>
    </row>
    <row r="24" spans="1:14" x14ac:dyDescent="0.25">
      <c r="A24" t="s">
        <v>136</v>
      </c>
      <c r="B24" t="s">
        <v>137</v>
      </c>
      <c r="C24">
        <v>0</v>
      </c>
      <c r="D24">
        <v>0</v>
      </c>
      <c r="E24">
        <v>250865.05000000002</v>
      </c>
      <c r="F24">
        <v>0</v>
      </c>
      <c r="G24">
        <v>0</v>
      </c>
      <c r="H24">
        <v>0</v>
      </c>
      <c r="I24">
        <v>14048.442800000001</v>
      </c>
      <c r="K24">
        <v>2700</v>
      </c>
      <c r="L24">
        <v>-21907.151666666654</v>
      </c>
      <c r="M24">
        <v>-5158.7088666666532</v>
      </c>
      <c r="N24">
        <v>256023.75886666667</v>
      </c>
    </row>
    <row r="25" spans="1:14" x14ac:dyDescent="0.25">
      <c r="A25" t="s">
        <v>140</v>
      </c>
      <c r="B25" t="s">
        <v>141</v>
      </c>
      <c r="C25">
        <v>10000</v>
      </c>
      <c r="D25">
        <v>0</v>
      </c>
      <c r="E25">
        <v>257264.05000000002</v>
      </c>
      <c r="F25">
        <v>2500</v>
      </c>
      <c r="G25">
        <v>0</v>
      </c>
      <c r="H25">
        <v>0</v>
      </c>
      <c r="I25">
        <v>14406.786800000002</v>
      </c>
      <c r="K25">
        <v>1800</v>
      </c>
      <c r="L25">
        <v>0</v>
      </c>
      <c r="M25">
        <v>18706.786800000002</v>
      </c>
      <c r="N25">
        <v>238557.26320000002</v>
      </c>
    </row>
    <row r="26" spans="1:14" x14ac:dyDescent="0.25">
      <c r="A26" t="s">
        <v>145</v>
      </c>
      <c r="B26" t="s">
        <v>141</v>
      </c>
      <c r="C26">
        <v>0</v>
      </c>
      <c r="D26">
        <v>0</v>
      </c>
      <c r="E26">
        <v>251419.05000000002</v>
      </c>
      <c r="F26">
        <v>3000</v>
      </c>
      <c r="G26">
        <v>30000</v>
      </c>
      <c r="H26">
        <v>0</v>
      </c>
      <c r="I26">
        <v>14079.466800000002</v>
      </c>
      <c r="K26">
        <v>900</v>
      </c>
      <c r="L26">
        <v>29925.715</v>
      </c>
      <c r="M26">
        <v>77905.181800000006</v>
      </c>
      <c r="N26">
        <v>173513.86820000003</v>
      </c>
    </row>
    <row r="27" spans="1:14" x14ac:dyDescent="0.25">
      <c r="A27" t="s">
        <v>148</v>
      </c>
      <c r="B27" t="s">
        <v>149</v>
      </c>
      <c r="C27">
        <v>0</v>
      </c>
      <c r="D27">
        <v>0</v>
      </c>
      <c r="E27">
        <v>270344.05000000005</v>
      </c>
      <c r="F27">
        <v>0</v>
      </c>
      <c r="G27">
        <v>0</v>
      </c>
      <c r="H27">
        <v>0</v>
      </c>
      <c r="I27">
        <v>15139.266800000003</v>
      </c>
      <c r="K27">
        <v>900</v>
      </c>
      <c r="L27">
        <v>35603.215000000018</v>
      </c>
      <c r="M27">
        <v>51642.481800000023</v>
      </c>
      <c r="N27">
        <v>218701.56820000004</v>
      </c>
    </row>
    <row r="28" spans="1:14" x14ac:dyDescent="0.25">
      <c r="A28" t="s">
        <v>106</v>
      </c>
      <c r="B28" t="s">
        <v>153</v>
      </c>
      <c r="C28">
        <v>0</v>
      </c>
      <c r="D28">
        <v>0</v>
      </c>
      <c r="E28">
        <v>469897.63000000006</v>
      </c>
      <c r="F28">
        <v>3000</v>
      </c>
      <c r="G28">
        <v>0</v>
      </c>
      <c r="H28">
        <v>0</v>
      </c>
      <c r="I28">
        <v>20160</v>
      </c>
      <c r="J28">
        <v>11277.543120000002</v>
      </c>
      <c r="K28">
        <v>900</v>
      </c>
      <c r="L28">
        <v>103797.50383333334</v>
      </c>
      <c r="M28">
        <v>139135.04695333334</v>
      </c>
      <c r="N28">
        <v>330762.5830466667</v>
      </c>
    </row>
    <row r="29" spans="1:14" x14ac:dyDescent="0.25">
      <c r="A29" t="s">
        <v>157</v>
      </c>
      <c r="B29" t="s">
        <v>158</v>
      </c>
      <c r="C29">
        <v>0</v>
      </c>
      <c r="D29">
        <v>0</v>
      </c>
      <c r="E29">
        <v>363458.60000000003</v>
      </c>
      <c r="F29">
        <v>2500</v>
      </c>
      <c r="G29">
        <v>0</v>
      </c>
      <c r="H29">
        <v>0</v>
      </c>
      <c r="I29">
        <v>20160</v>
      </c>
      <c r="J29">
        <v>8723.0064000000002</v>
      </c>
      <c r="K29">
        <v>900</v>
      </c>
      <c r="L29">
        <v>63537.580000000009</v>
      </c>
      <c r="M29">
        <v>95820.586400000015</v>
      </c>
      <c r="N29">
        <v>267638.01360000001</v>
      </c>
    </row>
    <row r="30" spans="1:14" x14ac:dyDescent="0.25">
      <c r="A30" t="s">
        <v>161</v>
      </c>
      <c r="B30" t="s">
        <v>162</v>
      </c>
      <c r="C30">
        <v>10000</v>
      </c>
      <c r="D30">
        <v>0</v>
      </c>
      <c r="E30">
        <v>479897.63000000006</v>
      </c>
      <c r="F30">
        <v>0</v>
      </c>
      <c r="G30">
        <v>0</v>
      </c>
      <c r="H30">
        <v>0</v>
      </c>
      <c r="I30">
        <v>20160</v>
      </c>
      <c r="J30">
        <v>11517.543120000002</v>
      </c>
      <c r="K30">
        <v>900</v>
      </c>
      <c r="L30">
        <v>0</v>
      </c>
      <c r="M30">
        <v>32577.543120000002</v>
      </c>
      <c r="N30">
        <v>447320.08688000008</v>
      </c>
    </row>
    <row r="31" spans="1:14" x14ac:dyDescent="0.25">
      <c r="A31" t="s">
        <v>165</v>
      </c>
      <c r="B31" t="s">
        <v>166</v>
      </c>
      <c r="C31">
        <v>8000</v>
      </c>
      <c r="D31">
        <v>0</v>
      </c>
      <c r="E31">
        <v>477897.63000000006</v>
      </c>
      <c r="F31">
        <v>3000</v>
      </c>
      <c r="G31">
        <v>12500</v>
      </c>
      <c r="H31">
        <v>0</v>
      </c>
      <c r="I31">
        <v>20160</v>
      </c>
      <c r="J31">
        <v>11469.543120000002</v>
      </c>
      <c r="K31">
        <v>3600</v>
      </c>
      <c r="L31">
        <v>34680.837166666672</v>
      </c>
      <c r="M31">
        <v>85410.380286666681</v>
      </c>
      <c r="N31">
        <v>392487.24971333338</v>
      </c>
    </row>
    <row r="32" spans="1:14" x14ac:dyDescent="0.25">
      <c r="A32" t="s">
        <v>170</v>
      </c>
      <c r="B32" t="s">
        <v>171</v>
      </c>
      <c r="C32">
        <v>0</v>
      </c>
      <c r="D32">
        <v>20000</v>
      </c>
      <c r="E32">
        <v>489897.63000000006</v>
      </c>
      <c r="F32">
        <v>0</v>
      </c>
      <c r="G32">
        <v>0</v>
      </c>
      <c r="H32">
        <v>0</v>
      </c>
      <c r="I32">
        <v>20160</v>
      </c>
      <c r="J32">
        <v>11757.543120000002</v>
      </c>
      <c r="K32">
        <v>1800</v>
      </c>
      <c r="L32">
        <v>50714.170500000007</v>
      </c>
      <c r="M32">
        <v>84431.71362000001</v>
      </c>
      <c r="N32">
        <v>405465.91638000007</v>
      </c>
    </row>
    <row r="33" spans="1:14" x14ac:dyDescent="0.25">
      <c r="A33" t="s">
        <v>174</v>
      </c>
      <c r="B33" t="s">
        <v>175</v>
      </c>
      <c r="C33">
        <v>0</v>
      </c>
      <c r="D33">
        <v>0</v>
      </c>
      <c r="E33">
        <v>356186.60000000003</v>
      </c>
      <c r="F33">
        <v>3000</v>
      </c>
      <c r="G33">
        <v>0</v>
      </c>
      <c r="H33">
        <v>0</v>
      </c>
      <c r="I33">
        <v>19946.449600000004</v>
      </c>
      <c r="K33">
        <v>1800</v>
      </c>
      <c r="L33">
        <v>19689.313333333335</v>
      </c>
      <c r="M33">
        <v>44435.762933333339</v>
      </c>
      <c r="N33">
        <v>311750.83706666669</v>
      </c>
    </row>
    <row r="34" spans="1:14" x14ac:dyDescent="0.25">
      <c r="A34" t="s">
        <v>178</v>
      </c>
      <c r="B34" t="s">
        <v>179</v>
      </c>
      <c r="C34">
        <v>0</v>
      </c>
      <c r="D34">
        <v>0</v>
      </c>
      <c r="E34">
        <v>362246.60000000003</v>
      </c>
      <c r="F34">
        <v>3000</v>
      </c>
      <c r="G34">
        <v>0</v>
      </c>
      <c r="H34">
        <v>0</v>
      </c>
      <c r="I34">
        <v>20160</v>
      </c>
      <c r="J34">
        <v>8693.9184000000005</v>
      </c>
      <c r="K34">
        <v>1800</v>
      </c>
      <c r="L34">
        <v>13173.980000000001</v>
      </c>
      <c r="M34">
        <v>46827.898400000005</v>
      </c>
      <c r="N34">
        <v>315418.70160000003</v>
      </c>
    </row>
    <row r="35" spans="1:14" x14ac:dyDescent="0.25">
      <c r="A35" t="s">
        <v>182</v>
      </c>
      <c r="B35" t="s">
        <v>183</v>
      </c>
      <c r="C35">
        <v>0</v>
      </c>
      <c r="D35">
        <v>25000</v>
      </c>
      <c r="E35">
        <v>375126.60000000003</v>
      </c>
      <c r="F35">
        <v>0</v>
      </c>
      <c r="G35">
        <v>10000</v>
      </c>
      <c r="H35">
        <v>0</v>
      </c>
      <c r="I35">
        <v>20160</v>
      </c>
      <c r="J35">
        <v>9003.0384000000013</v>
      </c>
      <c r="K35">
        <v>900</v>
      </c>
      <c r="L35">
        <v>0</v>
      </c>
      <c r="M35">
        <v>40063.038400000005</v>
      </c>
      <c r="N35">
        <v>335063.56160000002</v>
      </c>
    </row>
    <row r="36" spans="1:14" x14ac:dyDescent="0.25">
      <c r="A36" t="s">
        <v>186</v>
      </c>
      <c r="B36" t="s">
        <v>187</v>
      </c>
      <c r="C36">
        <v>0</v>
      </c>
      <c r="D36">
        <v>0</v>
      </c>
      <c r="E36">
        <v>354166.60000000003</v>
      </c>
      <c r="F36">
        <v>0</v>
      </c>
      <c r="G36">
        <v>0</v>
      </c>
      <c r="H36">
        <v>0</v>
      </c>
      <c r="I36">
        <v>19833.329600000001</v>
      </c>
      <c r="K36">
        <v>2700</v>
      </c>
      <c r="L36">
        <v>2416.6466666666674</v>
      </c>
      <c r="M36">
        <v>24949.976266666668</v>
      </c>
      <c r="N36">
        <v>329216.62373333337</v>
      </c>
    </row>
    <row r="37" spans="1:14" x14ac:dyDescent="0.25">
      <c r="A37" t="s">
        <v>191</v>
      </c>
      <c r="B37" t="s">
        <v>192</v>
      </c>
      <c r="C37">
        <v>0</v>
      </c>
      <c r="D37">
        <v>0</v>
      </c>
      <c r="E37">
        <v>358206.60000000003</v>
      </c>
      <c r="F37">
        <v>0</v>
      </c>
      <c r="G37">
        <v>13000</v>
      </c>
      <c r="H37">
        <v>0</v>
      </c>
      <c r="I37">
        <v>20059.569600000003</v>
      </c>
      <c r="K37">
        <v>1800</v>
      </c>
      <c r="L37">
        <v>-4704.6866666666656</v>
      </c>
      <c r="M37">
        <v>30154.882933333338</v>
      </c>
      <c r="N37">
        <v>328051.71706666669</v>
      </c>
    </row>
    <row r="38" spans="1:14" x14ac:dyDescent="0.25">
      <c r="A38" t="s">
        <v>175</v>
      </c>
      <c r="B38" t="s">
        <v>196</v>
      </c>
      <c r="C38">
        <v>0</v>
      </c>
      <c r="D38">
        <v>0</v>
      </c>
      <c r="E38">
        <v>250062.05000000002</v>
      </c>
      <c r="F38">
        <v>3000</v>
      </c>
      <c r="G38">
        <v>0</v>
      </c>
      <c r="H38">
        <v>0</v>
      </c>
      <c r="I38">
        <v>14003.474800000002</v>
      </c>
      <c r="K38">
        <v>900</v>
      </c>
      <c r="L38">
        <v>29518.615000000002</v>
      </c>
      <c r="M38">
        <v>47422.089800000002</v>
      </c>
      <c r="N38">
        <v>202639.96020000003</v>
      </c>
    </row>
    <row r="39" spans="1:14" x14ac:dyDescent="0.25">
      <c r="A39" t="s">
        <v>198</v>
      </c>
      <c r="B39" t="s">
        <v>196</v>
      </c>
      <c r="C39">
        <v>10000</v>
      </c>
      <c r="D39">
        <v>0</v>
      </c>
      <c r="E39">
        <v>479897.63000000006</v>
      </c>
      <c r="F39">
        <v>0</v>
      </c>
      <c r="G39">
        <v>10000</v>
      </c>
      <c r="H39">
        <v>0</v>
      </c>
      <c r="I39">
        <v>20160</v>
      </c>
      <c r="J39">
        <v>11517.543120000002</v>
      </c>
      <c r="K39">
        <v>900</v>
      </c>
      <c r="L39">
        <v>107297.50383333334</v>
      </c>
      <c r="M39">
        <v>149875.04695333334</v>
      </c>
      <c r="N39">
        <v>330022.5830466667</v>
      </c>
    </row>
    <row r="40" spans="1:14" x14ac:dyDescent="0.25">
      <c r="A40" t="s">
        <v>201</v>
      </c>
      <c r="B40" t="s">
        <v>202</v>
      </c>
      <c r="C40">
        <v>0</v>
      </c>
      <c r="D40">
        <v>0</v>
      </c>
      <c r="E40">
        <v>240062.05000000002</v>
      </c>
      <c r="F40">
        <v>0</v>
      </c>
      <c r="G40">
        <v>0</v>
      </c>
      <c r="H40">
        <v>0</v>
      </c>
      <c r="I40">
        <v>13443.474800000002</v>
      </c>
      <c r="K40">
        <v>900</v>
      </c>
      <c r="L40">
        <v>27413.030500000004</v>
      </c>
      <c r="M40">
        <v>41756.505300000004</v>
      </c>
      <c r="N40">
        <v>198305.54470000003</v>
      </c>
    </row>
    <row r="41" spans="1:14" x14ac:dyDescent="0.25">
      <c r="A41" t="s">
        <v>205</v>
      </c>
      <c r="B41" t="s">
        <v>202</v>
      </c>
      <c r="C41">
        <v>0</v>
      </c>
      <c r="D41">
        <v>0</v>
      </c>
      <c r="E41">
        <v>245602.05000000002</v>
      </c>
      <c r="F41">
        <v>5000</v>
      </c>
      <c r="G41">
        <v>0</v>
      </c>
      <c r="H41">
        <v>0</v>
      </c>
      <c r="I41">
        <v>13753.714800000002</v>
      </c>
      <c r="K41">
        <v>900</v>
      </c>
      <c r="L41">
        <v>28576.430500000006</v>
      </c>
      <c r="M41">
        <v>48230.145300000004</v>
      </c>
      <c r="N41">
        <v>197371.90470000001</v>
      </c>
    </row>
    <row r="42" spans="1:14" x14ac:dyDescent="0.25">
      <c r="A42" t="s">
        <v>208</v>
      </c>
      <c r="B42" t="s">
        <v>209</v>
      </c>
      <c r="C42">
        <v>0</v>
      </c>
      <c r="D42">
        <v>0</v>
      </c>
      <c r="E42">
        <v>469897.63000000006</v>
      </c>
      <c r="F42">
        <v>2500</v>
      </c>
      <c r="G42">
        <v>0</v>
      </c>
      <c r="H42">
        <v>30000</v>
      </c>
      <c r="I42">
        <v>20160</v>
      </c>
      <c r="J42">
        <v>11277.543120000002</v>
      </c>
      <c r="K42">
        <v>900</v>
      </c>
      <c r="L42">
        <v>106017.75345000003</v>
      </c>
      <c r="M42">
        <v>170855.29657000003</v>
      </c>
      <c r="N42">
        <v>299042.33343</v>
      </c>
    </row>
    <row r="43" spans="1:14" x14ac:dyDescent="0.25">
      <c r="A43" t="s">
        <v>212</v>
      </c>
      <c r="B43" t="s">
        <v>213</v>
      </c>
      <c r="C43">
        <v>0</v>
      </c>
      <c r="D43">
        <v>0</v>
      </c>
      <c r="E43">
        <v>240062.05000000002</v>
      </c>
      <c r="F43">
        <v>0</v>
      </c>
      <c r="G43">
        <v>10000</v>
      </c>
      <c r="H43">
        <v>0</v>
      </c>
      <c r="I43">
        <v>13443.474800000002</v>
      </c>
      <c r="K43">
        <v>2700</v>
      </c>
      <c r="L43">
        <v>-39253.636166666663</v>
      </c>
      <c r="M43">
        <v>-13110.16136666666</v>
      </c>
      <c r="N43">
        <v>253172.21136666668</v>
      </c>
    </row>
    <row r="44" spans="1:14" x14ac:dyDescent="0.25">
      <c r="A44" t="s">
        <v>217</v>
      </c>
      <c r="B44" t="s">
        <v>218</v>
      </c>
      <c r="C44">
        <v>0</v>
      </c>
      <c r="D44">
        <v>20000</v>
      </c>
      <c r="E44">
        <v>269757.05000000005</v>
      </c>
      <c r="F44">
        <v>0</v>
      </c>
      <c r="G44">
        <v>0</v>
      </c>
      <c r="H44">
        <v>0</v>
      </c>
      <c r="I44">
        <v>15106.394800000004</v>
      </c>
      <c r="K44">
        <v>1800</v>
      </c>
      <c r="L44">
        <v>10427.115000000011</v>
      </c>
      <c r="M44">
        <v>27333.509800000014</v>
      </c>
      <c r="N44">
        <v>242423.54020000005</v>
      </c>
    </row>
    <row r="45" spans="1:14" x14ac:dyDescent="0.25">
      <c r="A45" t="s">
        <v>222</v>
      </c>
      <c r="B45" t="s">
        <v>223</v>
      </c>
      <c r="C45">
        <v>8500</v>
      </c>
      <c r="D45">
        <v>0</v>
      </c>
      <c r="E45">
        <v>362666.60000000003</v>
      </c>
      <c r="F45">
        <v>2500</v>
      </c>
      <c r="G45">
        <v>0</v>
      </c>
      <c r="H45">
        <v>0</v>
      </c>
      <c r="I45">
        <v>20160</v>
      </c>
      <c r="J45">
        <v>8703.9984000000004</v>
      </c>
      <c r="K45">
        <v>1800</v>
      </c>
      <c r="L45">
        <v>38299.980000000003</v>
      </c>
      <c r="M45">
        <v>71463.978400000007</v>
      </c>
      <c r="N45">
        <v>291202.62160000001</v>
      </c>
    </row>
    <row r="46" spans="1:14" x14ac:dyDescent="0.25">
      <c r="A46" t="s">
        <v>225</v>
      </c>
      <c r="B46" t="s">
        <v>226</v>
      </c>
      <c r="C46">
        <v>0</v>
      </c>
      <c r="D46">
        <v>0</v>
      </c>
      <c r="E46">
        <v>365126.60000000003</v>
      </c>
      <c r="F46">
        <v>0</v>
      </c>
      <c r="G46">
        <v>0</v>
      </c>
      <c r="H46">
        <v>0</v>
      </c>
      <c r="I46">
        <v>20160</v>
      </c>
      <c r="J46">
        <v>8763.0384000000013</v>
      </c>
      <c r="K46">
        <v>900</v>
      </c>
      <c r="L46">
        <v>0</v>
      </c>
      <c r="M46">
        <v>29823.038400000001</v>
      </c>
      <c r="N46">
        <v>335303.56160000002</v>
      </c>
    </row>
    <row r="47" spans="1:14" x14ac:dyDescent="0.25">
      <c r="A47" t="s">
        <v>230</v>
      </c>
      <c r="B47" t="s">
        <v>231</v>
      </c>
      <c r="C47">
        <v>0</v>
      </c>
      <c r="D47">
        <v>0</v>
      </c>
      <c r="E47">
        <v>366286.60000000003</v>
      </c>
      <c r="F47">
        <v>0</v>
      </c>
      <c r="G47">
        <v>15000</v>
      </c>
      <c r="H47">
        <v>0</v>
      </c>
      <c r="I47">
        <v>20160</v>
      </c>
      <c r="J47">
        <v>8790.8784000000014</v>
      </c>
      <c r="K47">
        <v>1800</v>
      </c>
      <c r="L47">
        <v>39385.980000000003</v>
      </c>
      <c r="M47">
        <v>85136.858399999997</v>
      </c>
      <c r="N47">
        <v>281149.74160000007</v>
      </c>
    </row>
    <row r="48" spans="1:14" x14ac:dyDescent="0.25">
      <c r="A48" t="s">
        <v>234</v>
      </c>
      <c r="B48" t="s">
        <v>235</v>
      </c>
      <c r="C48">
        <v>0</v>
      </c>
      <c r="D48">
        <v>0</v>
      </c>
      <c r="E48">
        <v>353762.60000000003</v>
      </c>
      <c r="F48">
        <v>0</v>
      </c>
      <c r="G48">
        <v>0</v>
      </c>
      <c r="H48">
        <v>0</v>
      </c>
      <c r="I48">
        <v>19810.705600000001</v>
      </c>
      <c r="K48">
        <v>2700</v>
      </c>
      <c r="L48">
        <v>1462.1133333333321</v>
      </c>
      <c r="M48">
        <v>23972.818933333332</v>
      </c>
      <c r="N48">
        <v>329789.78106666671</v>
      </c>
    </row>
    <row r="49" spans="1:14" x14ac:dyDescent="0.25">
      <c r="A49" t="s">
        <v>238</v>
      </c>
      <c r="B49" t="s">
        <v>235</v>
      </c>
      <c r="C49">
        <v>5000</v>
      </c>
      <c r="D49">
        <v>25000</v>
      </c>
      <c r="E49">
        <v>389626.60000000003</v>
      </c>
      <c r="F49">
        <v>3000</v>
      </c>
      <c r="G49">
        <v>14500</v>
      </c>
      <c r="H49">
        <v>0</v>
      </c>
      <c r="I49">
        <v>20160</v>
      </c>
      <c r="J49">
        <v>9351.0384000000013</v>
      </c>
      <c r="K49">
        <v>900</v>
      </c>
      <c r="L49">
        <v>0</v>
      </c>
      <c r="M49">
        <v>47911.038400000005</v>
      </c>
      <c r="N49">
        <v>341715.56160000002</v>
      </c>
    </row>
    <row r="50" spans="1:14" x14ac:dyDescent="0.25">
      <c r="A50" t="s">
        <v>241</v>
      </c>
      <c r="B50" t="s">
        <v>242</v>
      </c>
      <c r="C50">
        <v>0</v>
      </c>
      <c r="D50">
        <v>0</v>
      </c>
      <c r="E50">
        <v>350126.60000000003</v>
      </c>
      <c r="F50">
        <v>0</v>
      </c>
      <c r="G50">
        <v>0</v>
      </c>
      <c r="H50">
        <v>0</v>
      </c>
      <c r="I50">
        <v>19607.089600000003</v>
      </c>
      <c r="K50">
        <v>2700</v>
      </c>
      <c r="L50">
        <v>-7128.6866666666656</v>
      </c>
      <c r="M50">
        <v>15178.402933333338</v>
      </c>
      <c r="N50">
        <v>334948.19706666667</v>
      </c>
    </row>
    <row r="51" spans="1:14" x14ac:dyDescent="0.25">
      <c r="A51" t="s">
        <v>245</v>
      </c>
      <c r="B51" t="s">
        <v>246</v>
      </c>
      <c r="C51">
        <v>7000</v>
      </c>
      <c r="D51">
        <v>0</v>
      </c>
      <c r="E51">
        <v>363994.60000000003</v>
      </c>
      <c r="F51">
        <v>3000</v>
      </c>
      <c r="G51">
        <v>13500</v>
      </c>
      <c r="H51">
        <v>0</v>
      </c>
      <c r="I51">
        <v>20160</v>
      </c>
      <c r="J51">
        <v>8735.8704000000016</v>
      </c>
      <c r="K51">
        <v>900</v>
      </c>
      <c r="L51">
        <v>63698.380000000005</v>
      </c>
      <c r="M51">
        <v>109994.2504</v>
      </c>
      <c r="N51">
        <v>254000.34960000002</v>
      </c>
    </row>
    <row r="52" spans="1:14" ht="20.25" customHeight="1" x14ac:dyDescent="0.25">
      <c r="A52" t="s">
        <v>248</v>
      </c>
      <c r="C52">
        <f>SUM(C2:C51)</f>
        <v>123500</v>
      </c>
      <c r="D52">
        <f t="shared" ref="D52:N52" si="0">SUM(D2:D51)</f>
        <v>202000</v>
      </c>
      <c r="E52">
        <f t="shared" si="0"/>
        <v>17624759.980000008</v>
      </c>
      <c r="F52">
        <f t="shared" si="0"/>
        <v>74500</v>
      </c>
      <c r="G52">
        <f>SUM(G2:G51)</f>
        <v>291000</v>
      </c>
      <c r="H52">
        <f t="shared" si="0"/>
        <v>65000</v>
      </c>
      <c r="I52">
        <f t="shared" si="0"/>
        <v>902842.77720000001</v>
      </c>
      <c r="J52">
        <f t="shared" si="0"/>
        <v>269341.62071999995</v>
      </c>
      <c r="K52">
        <f t="shared" si="0"/>
        <v>77400</v>
      </c>
      <c r="L52">
        <f t="shared" si="0"/>
        <v>1478114.449283333</v>
      </c>
      <c r="M52">
        <f t="shared" si="0"/>
        <v>3158198.8472033334</v>
      </c>
      <c r="N52">
        <f t="shared" si="0"/>
        <v>14466561.132796669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O19"/>
  <sheetViews>
    <sheetView workbookViewId="0">
      <selection activeCell="D20" sqref="D20"/>
    </sheetView>
  </sheetViews>
  <sheetFormatPr baseColWidth="10" defaultRowHeight="15" x14ac:dyDescent="0.25"/>
  <cols>
    <col min="6" max="6" width="2.140625" customWidth="1"/>
    <col min="8" max="8" width="31.7109375" customWidth="1"/>
    <col min="9" max="9" width="3.28515625" customWidth="1"/>
    <col min="11" max="11" width="2.7109375" customWidth="1"/>
    <col min="12" max="12" width="14.85546875" customWidth="1"/>
    <col min="13" max="13" width="15.42578125" customWidth="1"/>
  </cols>
  <sheetData>
    <row r="1" spans="1:15" x14ac:dyDescent="0.25">
      <c r="A1" s="4">
        <v>421</v>
      </c>
      <c r="B1" s="4"/>
      <c r="C1" s="13" t="s">
        <v>249</v>
      </c>
      <c r="D1" s="14"/>
      <c r="E1" s="14"/>
      <c r="F1" s="14"/>
      <c r="G1" s="14"/>
      <c r="H1" s="14"/>
      <c r="I1" s="14"/>
      <c r="J1" s="14"/>
      <c r="K1" s="15"/>
      <c r="L1" s="27">
        <v>291000</v>
      </c>
      <c r="M1" s="9"/>
    </row>
    <row r="2" spans="1:15" ht="15.75" thickBot="1" x14ac:dyDescent="0.3">
      <c r="A2" s="5"/>
      <c r="B2" s="5">
        <v>521</v>
      </c>
      <c r="C2" s="16"/>
      <c r="D2" s="17"/>
      <c r="E2" s="17"/>
      <c r="F2" s="17"/>
      <c r="G2" s="17"/>
      <c r="H2" s="17"/>
      <c r="I2" s="17"/>
      <c r="J2" s="17" t="s">
        <v>250</v>
      </c>
      <c r="K2" s="18"/>
      <c r="L2" s="8"/>
      <c r="M2" s="10">
        <v>291000</v>
      </c>
    </row>
    <row r="3" spans="1:15" ht="15.75" thickTop="1" x14ac:dyDescent="0.25">
      <c r="A3" s="6">
        <v>661</v>
      </c>
      <c r="B3" s="6"/>
      <c r="C3" s="19" t="s">
        <v>251</v>
      </c>
      <c r="D3" s="20"/>
      <c r="E3" s="20"/>
      <c r="F3" s="20"/>
      <c r="G3" s="20"/>
      <c r="H3" s="20"/>
      <c r="I3" s="20"/>
      <c r="J3" s="20"/>
      <c r="K3" s="21"/>
      <c r="L3" s="6">
        <v>17624759.980000008</v>
      </c>
      <c r="M3" s="11"/>
    </row>
    <row r="4" spans="1:15" x14ac:dyDescent="0.25">
      <c r="A4" s="7">
        <v>663</v>
      </c>
      <c r="B4" s="7"/>
      <c r="C4" s="13" t="s">
        <v>252</v>
      </c>
      <c r="D4" s="14"/>
      <c r="E4" s="14"/>
      <c r="F4" s="14"/>
      <c r="G4" s="14"/>
      <c r="H4" s="14"/>
      <c r="I4" s="14"/>
      <c r="J4" s="14"/>
      <c r="K4" s="15"/>
      <c r="L4" s="7">
        <v>202000</v>
      </c>
      <c r="M4" s="12"/>
    </row>
    <row r="5" spans="1:15" ht="15.75" thickBot="1" x14ac:dyDescent="0.3">
      <c r="A5" s="7"/>
      <c r="B5" s="7">
        <v>422</v>
      </c>
      <c r="C5" s="22"/>
      <c r="D5" s="3"/>
      <c r="E5" s="3"/>
      <c r="F5" s="3"/>
      <c r="G5" s="3" t="s">
        <v>253</v>
      </c>
      <c r="H5" s="3"/>
      <c r="I5" s="3"/>
      <c r="J5" s="3"/>
      <c r="K5" s="23"/>
      <c r="L5" s="8"/>
      <c r="M5" s="10">
        <f>SUM(L3:L4)</f>
        <v>17826759.980000008</v>
      </c>
    </row>
    <row r="6" spans="1:15" ht="15.75" thickTop="1" x14ac:dyDescent="0.25">
      <c r="A6" s="6">
        <v>422</v>
      </c>
      <c r="B6" s="6"/>
      <c r="C6" s="24" t="s">
        <v>253</v>
      </c>
      <c r="D6" s="25"/>
      <c r="E6" s="25"/>
      <c r="F6" s="25"/>
      <c r="G6" s="25"/>
      <c r="H6" s="25"/>
      <c r="I6" s="25"/>
      <c r="J6" s="25"/>
      <c r="K6" s="26"/>
      <c r="L6" s="6">
        <v>3158198.8472033334</v>
      </c>
      <c r="M6" s="11"/>
    </row>
    <row r="7" spans="1:15" x14ac:dyDescent="0.25">
      <c r="A7" s="7"/>
      <c r="B7" s="7">
        <v>421</v>
      </c>
      <c r="C7" s="13"/>
      <c r="D7" s="14"/>
      <c r="E7" s="14"/>
      <c r="F7" s="14"/>
      <c r="G7" s="14"/>
      <c r="H7" s="14" t="s">
        <v>257</v>
      </c>
      <c r="I7" s="14"/>
      <c r="J7" s="14"/>
      <c r="K7" s="15"/>
      <c r="L7" s="7"/>
      <c r="M7" s="12">
        <f>L1</f>
        <v>291000</v>
      </c>
    </row>
    <row r="8" spans="1:15" x14ac:dyDescent="0.25">
      <c r="A8" s="7"/>
      <c r="B8" s="7">
        <v>4313</v>
      </c>
      <c r="C8" s="13"/>
      <c r="D8" s="14"/>
      <c r="E8" s="14"/>
      <c r="F8" s="14"/>
      <c r="G8" s="14"/>
      <c r="H8" s="14" t="s">
        <v>258</v>
      </c>
      <c r="I8" s="14"/>
      <c r="J8" s="14"/>
      <c r="K8" s="15"/>
      <c r="L8" s="7"/>
      <c r="M8" s="12">
        <v>902842.77720000001</v>
      </c>
    </row>
    <row r="9" spans="1:15" x14ac:dyDescent="0.25">
      <c r="A9" s="7"/>
      <c r="B9" s="7">
        <v>4314</v>
      </c>
      <c r="C9" s="13"/>
      <c r="D9" s="14"/>
      <c r="E9" s="14"/>
      <c r="F9" s="14"/>
      <c r="G9" s="14"/>
      <c r="H9" s="14" t="s">
        <v>259</v>
      </c>
      <c r="I9" s="14"/>
      <c r="J9" s="14"/>
      <c r="K9" s="15"/>
      <c r="L9" s="7"/>
      <c r="M9" s="12">
        <v>269341.62071999995</v>
      </c>
    </row>
    <row r="10" spans="1:15" x14ac:dyDescent="0.25">
      <c r="A10" s="7"/>
      <c r="B10" s="7">
        <v>4331</v>
      </c>
      <c r="C10" s="13"/>
      <c r="D10" s="14"/>
      <c r="E10" s="14"/>
      <c r="F10" s="14"/>
      <c r="G10" s="14"/>
      <c r="H10" s="14" t="s">
        <v>260</v>
      </c>
      <c r="I10" s="14"/>
      <c r="J10" s="14"/>
      <c r="K10" s="15"/>
      <c r="L10" s="7"/>
      <c r="M10" s="12">
        <v>74500</v>
      </c>
    </row>
    <row r="11" spans="1:15" x14ac:dyDescent="0.25">
      <c r="A11" s="7"/>
      <c r="B11" s="7">
        <v>447</v>
      </c>
      <c r="C11" s="13"/>
      <c r="D11" s="14"/>
      <c r="E11" s="14"/>
      <c r="F11" s="14"/>
      <c r="G11" s="14"/>
      <c r="H11" s="14" t="s">
        <v>254</v>
      </c>
      <c r="I11" s="14"/>
      <c r="J11" s="14"/>
      <c r="K11" s="15"/>
      <c r="L11" s="7"/>
      <c r="M11" s="12">
        <f>SUM(N13:N14)</f>
        <v>1555514.449283333</v>
      </c>
    </row>
    <row r="12" spans="1:15" ht="15.75" thickBot="1" x14ac:dyDescent="0.3">
      <c r="A12" s="8"/>
      <c r="B12" s="8">
        <v>423</v>
      </c>
      <c r="C12" s="22"/>
      <c r="D12" s="3"/>
      <c r="E12" s="3"/>
      <c r="F12" s="3"/>
      <c r="G12" s="3"/>
      <c r="H12" s="3" t="s">
        <v>261</v>
      </c>
      <c r="I12" s="3"/>
      <c r="J12" s="3"/>
      <c r="K12" s="23"/>
      <c r="L12" s="8"/>
      <c r="M12" s="10">
        <v>65000</v>
      </c>
    </row>
    <row r="13" spans="1:15" ht="15.75" thickTop="1" x14ac:dyDescent="0.25">
      <c r="A13" s="6">
        <v>422</v>
      </c>
      <c r="B13" s="6"/>
      <c r="C13" s="24" t="s">
        <v>253</v>
      </c>
      <c r="D13" s="25"/>
      <c r="E13" s="25"/>
      <c r="F13" s="25"/>
      <c r="G13" s="25"/>
      <c r="H13" s="25"/>
      <c r="I13" s="25"/>
      <c r="J13" s="25"/>
      <c r="K13" s="26"/>
      <c r="L13" s="6">
        <v>14466561.132796669</v>
      </c>
      <c r="M13" s="11"/>
      <c r="N13">
        <v>1478114.449283333</v>
      </c>
      <c r="O13" t="s">
        <v>255</v>
      </c>
    </row>
    <row r="14" spans="1:15" x14ac:dyDescent="0.25">
      <c r="A14" s="7">
        <v>423</v>
      </c>
      <c r="B14" s="7"/>
      <c r="C14" s="13" t="s">
        <v>21</v>
      </c>
      <c r="D14" s="14"/>
      <c r="E14" s="14"/>
      <c r="F14" s="14"/>
      <c r="G14" s="14"/>
      <c r="H14" s="14"/>
      <c r="I14" s="14"/>
      <c r="J14" s="14"/>
      <c r="K14" s="15"/>
      <c r="L14" s="7">
        <f>M12</f>
        <v>65000</v>
      </c>
      <c r="M14" s="12"/>
      <c r="N14">
        <v>77400</v>
      </c>
      <c r="O14" t="s">
        <v>26</v>
      </c>
    </row>
    <row r="15" spans="1:15" ht="15.75" thickBot="1" x14ac:dyDescent="0.3">
      <c r="A15" s="7"/>
      <c r="B15" s="7">
        <v>521</v>
      </c>
      <c r="C15" s="28"/>
      <c r="D15" s="29"/>
      <c r="E15" s="29"/>
      <c r="F15" s="29"/>
      <c r="G15" s="29"/>
      <c r="H15" s="29"/>
      <c r="I15" s="29"/>
      <c r="J15" s="29" t="s">
        <v>250</v>
      </c>
      <c r="K15" s="30"/>
      <c r="L15" s="7"/>
      <c r="M15" s="12">
        <f>SUM(L13:L14)</f>
        <v>14531561.132796669</v>
      </c>
    </row>
    <row r="16" spans="1:15" ht="28.5" customHeight="1" thickTop="1" x14ac:dyDescent="0.35">
      <c r="A16" s="33" t="s">
        <v>248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31">
        <f>SUM(L1,L3,L4,L6,L13,L14)</f>
        <v>35807519.960000008</v>
      </c>
      <c r="M16" s="32">
        <f>SUM(M2,M5,M7,M8,M9,M10,M11,M12,M15)</f>
        <v>35807519.960000008</v>
      </c>
    </row>
    <row r="19" spans="4:4" x14ac:dyDescent="0.25">
      <c r="D19" t="s">
        <v>256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222"/>
  <sheetViews>
    <sheetView workbookViewId="0">
      <selection activeCell="H21" sqref="H21"/>
    </sheetView>
  </sheetViews>
  <sheetFormatPr baseColWidth="10" defaultRowHeight="15" x14ac:dyDescent="0.25"/>
  <cols>
    <col min="1" max="1" width="19.85546875" customWidth="1"/>
    <col min="2" max="2" width="20.85546875" customWidth="1"/>
    <col min="5" max="5" width="16.140625" customWidth="1"/>
    <col min="6" max="6" width="16" customWidth="1"/>
  </cols>
  <sheetData>
    <row r="1" spans="1:6" ht="34.5" customHeight="1" thickBot="1" x14ac:dyDescent="0.3">
      <c r="A1" s="44"/>
      <c r="B1" s="45"/>
      <c r="C1" s="46" t="s">
        <v>264</v>
      </c>
      <c r="D1" s="47"/>
      <c r="E1" s="47"/>
      <c r="F1" s="48"/>
    </row>
    <row r="2" spans="1:6" x14ac:dyDescent="0.25">
      <c r="A2" s="35" t="s">
        <v>1</v>
      </c>
      <c r="B2" s="49" t="s">
        <v>72</v>
      </c>
      <c r="C2" s="36" t="s">
        <v>262</v>
      </c>
      <c r="D2" s="50" t="s">
        <v>75</v>
      </c>
      <c r="E2" s="36"/>
      <c r="F2" s="37"/>
    </row>
    <row r="3" spans="1:6" x14ac:dyDescent="0.25">
      <c r="A3" s="38" t="s">
        <v>73</v>
      </c>
      <c r="B3" s="39"/>
      <c r="C3" s="39" t="s">
        <v>263</v>
      </c>
      <c r="D3" s="39" t="s">
        <v>42</v>
      </c>
      <c r="E3" s="39"/>
      <c r="F3" s="40"/>
    </row>
    <row r="4" spans="1:6" x14ac:dyDescent="0.25">
      <c r="A4" s="38" t="s">
        <v>74</v>
      </c>
      <c r="B4" s="39"/>
      <c r="C4" s="39" t="s">
        <v>281</v>
      </c>
      <c r="D4" s="39" t="s">
        <v>282</v>
      </c>
      <c r="E4" s="39" t="s">
        <v>284</v>
      </c>
      <c r="F4" s="40"/>
    </row>
    <row r="5" spans="1:6" ht="15.75" thickBot="1" x14ac:dyDescent="0.3">
      <c r="A5" s="41"/>
      <c r="B5" s="42"/>
      <c r="C5" s="42"/>
      <c r="D5" s="42"/>
      <c r="E5" s="42"/>
      <c r="F5" s="43"/>
    </row>
    <row r="6" spans="1:6" ht="15.75" thickBot="1" x14ac:dyDescent="0.3">
      <c r="A6" s="34" t="s">
        <v>265</v>
      </c>
      <c r="B6" s="34"/>
      <c r="C6" s="34"/>
      <c r="D6" s="34"/>
      <c r="E6" s="34"/>
      <c r="F6" s="34">
        <v>469897.63000000006</v>
      </c>
    </row>
    <row r="7" spans="1:6" ht="15.75" thickBot="1" x14ac:dyDescent="0.3">
      <c r="A7" s="34" t="s">
        <v>11</v>
      </c>
      <c r="B7" s="34"/>
      <c r="C7" s="34"/>
      <c r="D7" s="34"/>
      <c r="E7" s="34"/>
      <c r="F7" s="34">
        <v>0</v>
      </c>
    </row>
    <row r="8" spans="1:6" ht="15.75" thickBot="1" x14ac:dyDescent="0.3">
      <c r="A8" s="34" t="s">
        <v>266</v>
      </c>
      <c r="B8" s="34"/>
      <c r="C8" s="34"/>
      <c r="D8" s="34"/>
      <c r="E8" s="34"/>
      <c r="F8" s="34">
        <v>0</v>
      </c>
    </row>
    <row r="9" spans="1:6" ht="15.75" thickBot="1" x14ac:dyDescent="0.3">
      <c r="A9" s="34" t="s">
        <v>267</v>
      </c>
      <c r="B9" s="34"/>
      <c r="C9" s="34"/>
      <c r="D9" s="34"/>
      <c r="E9" s="34"/>
      <c r="F9" s="34">
        <v>0</v>
      </c>
    </row>
    <row r="10" spans="1:6" ht="15.75" thickBot="1" x14ac:dyDescent="0.3">
      <c r="A10" s="34" t="s">
        <v>268</v>
      </c>
      <c r="B10" s="34"/>
      <c r="C10" s="34"/>
      <c r="D10" s="34"/>
      <c r="E10" s="34"/>
      <c r="F10" s="34">
        <v>0</v>
      </c>
    </row>
    <row r="11" spans="1:6" ht="15.75" thickBot="1" x14ac:dyDescent="0.3">
      <c r="A11" s="34" t="s">
        <v>269</v>
      </c>
      <c r="B11" s="34"/>
      <c r="C11" s="34"/>
      <c r="D11" s="34"/>
      <c r="E11" s="34"/>
      <c r="F11" s="34">
        <v>0</v>
      </c>
    </row>
    <row r="12" spans="1:6" ht="15.75" thickBot="1" x14ac:dyDescent="0.3">
      <c r="A12" s="34" t="s">
        <v>16</v>
      </c>
      <c r="B12" s="34"/>
      <c r="C12" s="34"/>
      <c r="D12" s="34"/>
      <c r="E12" s="34"/>
      <c r="F12" s="34">
        <v>0</v>
      </c>
    </row>
    <row r="13" spans="1:6" ht="15.75" thickBot="1" x14ac:dyDescent="0.3">
      <c r="A13" s="34" t="s">
        <v>18</v>
      </c>
      <c r="B13" s="34"/>
      <c r="C13" s="34"/>
      <c r="D13" s="34" t="s">
        <v>256</v>
      </c>
      <c r="E13" s="34"/>
      <c r="F13" s="34">
        <v>0</v>
      </c>
    </row>
    <row r="14" spans="1:6" ht="15.75" thickBot="1" x14ac:dyDescent="0.3">
      <c r="A14" s="34" t="s">
        <v>270</v>
      </c>
      <c r="B14" s="34"/>
      <c r="C14" s="34"/>
      <c r="D14" s="34"/>
      <c r="E14" s="34">
        <f>E16</f>
        <v>469897.63000000006</v>
      </c>
      <c r="F14" s="34">
        <f>F6</f>
        <v>469897.63000000006</v>
      </c>
    </row>
    <row r="15" spans="1:6" ht="15.75" thickBot="1" x14ac:dyDescent="0.3">
      <c r="A15" s="34" t="s">
        <v>17</v>
      </c>
      <c r="B15" s="34"/>
      <c r="C15" s="34"/>
      <c r="D15" s="34"/>
      <c r="E15" s="34">
        <v>0</v>
      </c>
      <c r="F15" s="34"/>
    </row>
    <row r="16" spans="1:6" ht="15.75" thickBot="1" x14ac:dyDescent="0.3">
      <c r="A16" s="34" t="s">
        <v>271</v>
      </c>
      <c r="B16" s="34"/>
      <c r="C16" s="34"/>
      <c r="D16" s="34"/>
      <c r="E16" s="34">
        <f>F14</f>
        <v>469897.63000000006</v>
      </c>
      <c r="F16" s="34"/>
    </row>
    <row r="17" spans="1:6" ht="15.75" thickBot="1" x14ac:dyDescent="0.3">
      <c r="A17" s="51"/>
      <c r="B17" s="34" t="s">
        <v>272</v>
      </c>
      <c r="C17" s="34"/>
      <c r="D17" s="34"/>
      <c r="E17" s="34">
        <v>20160</v>
      </c>
      <c r="F17" s="34"/>
    </row>
    <row r="18" spans="1:6" ht="15.75" thickBot="1" x14ac:dyDescent="0.3">
      <c r="A18" s="40"/>
      <c r="B18" s="48" t="s">
        <v>273</v>
      </c>
      <c r="C18" s="34"/>
      <c r="D18" s="34"/>
      <c r="E18" s="34">
        <v>11277.543120000002</v>
      </c>
      <c r="F18" s="34"/>
    </row>
    <row r="19" spans="1:6" ht="15.75" thickBot="1" x14ac:dyDescent="0.3">
      <c r="A19" s="40"/>
      <c r="B19" s="48" t="s">
        <v>19</v>
      </c>
      <c r="C19" s="34"/>
      <c r="D19" s="34"/>
      <c r="E19" s="34">
        <v>3000</v>
      </c>
      <c r="F19" s="34"/>
    </row>
    <row r="20" spans="1:6" ht="15.75" thickBot="1" x14ac:dyDescent="0.3">
      <c r="A20" s="40" t="s">
        <v>28</v>
      </c>
      <c r="B20" s="48" t="s">
        <v>26</v>
      </c>
      <c r="C20" s="34"/>
      <c r="D20" s="34"/>
      <c r="E20" s="34">
        <v>900</v>
      </c>
      <c r="F20" s="34"/>
    </row>
    <row r="21" spans="1:6" ht="15.75" thickBot="1" x14ac:dyDescent="0.3">
      <c r="A21" s="40"/>
      <c r="B21" s="48" t="s">
        <v>255</v>
      </c>
      <c r="C21" s="34"/>
      <c r="D21" s="34"/>
      <c r="E21" s="34">
        <v>98547.503833333336</v>
      </c>
      <c r="F21" s="34"/>
    </row>
    <row r="22" spans="1:6" ht="15.75" thickBot="1" x14ac:dyDescent="0.3">
      <c r="A22" s="40"/>
      <c r="B22" s="48" t="s">
        <v>274</v>
      </c>
      <c r="C22" s="34"/>
      <c r="D22" s="34"/>
      <c r="E22" s="34">
        <v>0</v>
      </c>
      <c r="F22" s="34"/>
    </row>
    <row r="23" spans="1:6" ht="15.75" thickBot="1" x14ac:dyDescent="0.3">
      <c r="A23" s="52"/>
      <c r="B23" s="34" t="s">
        <v>21</v>
      </c>
      <c r="C23" s="34"/>
      <c r="D23" s="34"/>
      <c r="E23" s="34">
        <v>0</v>
      </c>
      <c r="F23" s="34"/>
    </row>
    <row r="24" spans="1:6" ht="15.75" thickBot="1" x14ac:dyDescent="0.3">
      <c r="A24" s="34" t="s">
        <v>276</v>
      </c>
      <c r="B24" s="34"/>
      <c r="C24" s="34"/>
      <c r="D24" s="34"/>
      <c r="E24" s="34">
        <v>133885.04695333334</v>
      </c>
      <c r="F24" s="34">
        <f>E24</f>
        <v>133885.04695333334</v>
      </c>
    </row>
    <row r="25" spans="1:6" ht="15.75" thickBot="1" x14ac:dyDescent="0.3">
      <c r="A25" s="34" t="s">
        <v>275</v>
      </c>
      <c r="B25" s="34"/>
      <c r="C25" s="34"/>
      <c r="D25" s="34"/>
      <c r="E25" s="34">
        <v>336012.5830466667</v>
      </c>
      <c r="F25" s="34"/>
    </row>
    <row r="26" spans="1:6" ht="15.75" thickBot="1" x14ac:dyDescent="0.3">
      <c r="A26" s="34"/>
      <c r="B26" s="34"/>
      <c r="C26" s="34"/>
      <c r="D26" s="34"/>
      <c r="E26" s="34"/>
      <c r="F26" s="34"/>
    </row>
    <row r="222" spans="5:5" x14ac:dyDescent="0.25">
      <c r="E222">
        <v>133885.04695333334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26"/>
  <sheetViews>
    <sheetView topLeftCell="A5" workbookViewId="0">
      <selection activeCell="C28" sqref="C28"/>
    </sheetView>
  </sheetViews>
  <sheetFormatPr baseColWidth="10" defaultRowHeight="15" x14ac:dyDescent="0.25"/>
  <cols>
    <col min="1" max="1" width="19" customWidth="1"/>
    <col min="2" max="2" width="19.5703125" customWidth="1"/>
    <col min="5" max="5" width="13.28515625" customWidth="1"/>
    <col min="6" max="6" width="16.85546875" customWidth="1"/>
  </cols>
  <sheetData>
    <row r="1" spans="1:6" ht="30.75" customHeight="1" thickBot="1" x14ac:dyDescent="0.3">
      <c r="A1" s="44"/>
      <c r="B1" s="45"/>
      <c r="C1" s="46" t="s">
        <v>264</v>
      </c>
      <c r="D1" s="47"/>
      <c r="E1" s="47"/>
      <c r="F1" s="48"/>
    </row>
    <row r="2" spans="1:6" x14ac:dyDescent="0.25">
      <c r="A2" s="35" t="s">
        <v>1</v>
      </c>
      <c r="B2" s="36" t="s">
        <v>39</v>
      </c>
      <c r="C2" s="36" t="s">
        <v>262</v>
      </c>
      <c r="D2" s="50">
        <v>30568</v>
      </c>
      <c r="E2" s="36"/>
      <c r="F2" s="37"/>
    </row>
    <row r="3" spans="1:6" x14ac:dyDescent="0.25">
      <c r="A3" s="38" t="s">
        <v>40</v>
      </c>
      <c r="B3" s="39"/>
      <c r="C3" s="39" t="s">
        <v>263</v>
      </c>
      <c r="D3" s="39" t="s">
        <v>42</v>
      </c>
      <c r="E3" s="39"/>
      <c r="F3" s="40"/>
    </row>
    <row r="4" spans="1:6" x14ac:dyDescent="0.25">
      <c r="A4" s="38" t="s">
        <v>41</v>
      </c>
      <c r="B4" s="39"/>
      <c r="C4" s="39" t="s">
        <v>277</v>
      </c>
      <c r="D4" s="39" t="s">
        <v>280</v>
      </c>
      <c r="E4" s="39" t="s">
        <v>278</v>
      </c>
      <c r="F4" s="40" t="s">
        <v>279</v>
      </c>
    </row>
    <row r="5" spans="1:6" ht="15.75" thickBot="1" x14ac:dyDescent="0.3">
      <c r="A5" s="41"/>
      <c r="B5" s="42"/>
      <c r="C5" s="42"/>
      <c r="D5" s="42"/>
      <c r="E5" s="42"/>
      <c r="F5" s="43"/>
    </row>
    <row r="6" spans="1:6" ht="15.75" thickBot="1" x14ac:dyDescent="0.3">
      <c r="A6" s="34" t="s">
        <v>265</v>
      </c>
      <c r="B6" s="34"/>
      <c r="C6" s="34"/>
      <c r="D6" s="34"/>
      <c r="E6" s="34"/>
      <c r="F6" s="53">
        <v>350126.60000000003</v>
      </c>
    </row>
    <row r="7" spans="1:6" ht="15.75" thickBot="1" x14ac:dyDescent="0.3">
      <c r="A7" s="34" t="s">
        <v>11</v>
      </c>
      <c r="B7" s="34"/>
      <c r="C7" s="34"/>
      <c r="D7" s="34"/>
      <c r="E7" s="34"/>
      <c r="F7" s="34">
        <v>0</v>
      </c>
    </row>
    <row r="8" spans="1:6" ht="15.75" thickBot="1" x14ac:dyDescent="0.3">
      <c r="A8" s="34" t="s">
        <v>266</v>
      </c>
      <c r="B8" s="34"/>
      <c r="C8" s="34"/>
      <c r="D8" s="34"/>
      <c r="E8" s="34"/>
      <c r="F8" s="34">
        <v>0</v>
      </c>
    </row>
    <row r="9" spans="1:6" ht="15.75" thickBot="1" x14ac:dyDescent="0.3">
      <c r="A9" s="34" t="s">
        <v>267</v>
      </c>
      <c r="B9" s="34"/>
      <c r="C9" s="34"/>
      <c r="D9" s="34"/>
      <c r="E9" s="34"/>
      <c r="F9" s="34">
        <v>0</v>
      </c>
    </row>
    <row r="10" spans="1:6" ht="15.75" thickBot="1" x14ac:dyDescent="0.3">
      <c r="A10" s="34" t="s">
        <v>268</v>
      </c>
      <c r="B10" s="34"/>
      <c r="C10" s="34"/>
      <c r="D10" s="34"/>
      <c r="E10" s="34"/>
      <c r="F10" s="34">
        <v>0</v>
      </c>
    </row>
    <row r="11" spans="1:6" ht="15.75" thickBot="1" x14ac:dyDescent="0.3">
      <c r="A11" s="34" t="s">
        <v>269</v>
      </c>
      <c r="B11" s="34"/>
      <c r="C11" s="34"/>
      <c r="D11" s="34"/>
      <c r="E11" s="34"/>
      <c r="F11" s="49">
        <v>8080</v>
      </c>
    </row>
    <row r="12" spans="1:6" ht="15.75" thickBot="1" x14ac:dyDescent="0.3">
      <c r="A12" s="34" t="s">
        <v>16</v>
      </c>
      <c r="B12" s="34"/>
      <c r="C12" s="34"/>
      <c r="D12" s="34"/>
      <c r="E12" s="34"/>
      <c r="F12" s="34">
        <v>0</v>
      </c>
    </row>
    <row r="13" spans="1:6" ht="15.75" thickBot="1" x14ac:dyDescent="0.3">
      <c r="A13" s="34" t="s">
        <v>18</v>
      </c>
      <c r="B13" s="34"/>
      <c r="C13" s="34"/>
      <c r="D13" s="34"/>
      <c r="E13" s="34"/>
      <c r="F13" s="34">
        <v>17500</v>
      </c>
    </row>
    <row r="14" spans="1:6" ht="15.75" thickBot="1" x14ac:dyDescent="0.3">
      <c r="A14" s="34" t="s">
        <v>270</v>
      </c>
      <c r="B14" s="34"/>
      <c r="C14" s="34"/>
      <c r="D14" s="34"/>
      <c r="E14" s="34">
        <f>F14</f>
        <v>375706.60000000003</v>
      </c>
      <c r="F14" s="34">
        <f>F6+F11+F13</f>
        <v>375706.60000000003</v>
      </c>
    </row>
    <row r="15" spans="1:6" ht="15.75" thickBot="1" x14ac:dyDescent="0.3">
      <c r="A15" s="34" t="s">
        <v>17</v>
      </c>
      <c r="B15" s="34"/>
      <c r="C15" s="34"/>
      <c r="D15" s="34"/>
      <c r="E15" s="34">
        <v>0</v>
      </c>
      <c r="F15" s="34"/>
    </row>
    <row r="16" spans="1:6" ht="15.75" thickBot="1" x14ac:dyDescent="0.3">
      <c r="A16" s="34" t="s">
        <v>271</v>
      </c>
      <c r="B16" s="34"/>
      <c r="C16" s="34"/>
      <c r="D16" s="34"/>
      <c r="E16" s="34">
        <f>E14</f>
        <v>375706.60000000003</v>
      </c>
      <c r="F16" s="34"/>
    </row>
    <row r="17" spans="1:6" ht="15.75" thickBot="1" x14ac:dyDescent="0.3">
      <c r="A17" s="51"/>
      <c r="B17" s="34" t="s">
        <v>272</v>
      </c>
      <c r="C17" s="34"/>
      <c r="D17" s="34"/>
      <c r="E17" s="49">
        <v>20160</v>
      </c>
      <c r="F17" s="34"/>
    </row>
    <row r="18" spans="1:6" ht="15.75" thickBot="1" x14ac:dyDescent="0.3">
      <c r="A18" s="40"/>
      <c r="B18" s="34" t="s">
        <v>273</v>
      </c>
      <c r="C18" s="34"/>
      <c r="D18" s="34"/>
      <c r="E18" s="49">
        <v>9016.9583999999995</v>
      </c>
      <c r="F18" s="34"/>
    </row>
    <row r="19" spans="1:6" ht="15.75" thickBot="1" x14ac:dyDescent="0.3">
      <c r="A19" s="40"/>
      <c r="B19" s="34" t="s">
        <v>19</v>
      </c>
      <c r="C19" s="34"/>
      <c r="D19" s="34"/>
      <c r="E19" s="34">
        <v>4500</v>
      </c>
      <c r="F19" s="34"/>
    </row>
    <row r="20" spans="1:6" ht="15.75" thickBot="1" x14ac:dyDescent="0.3">
      <c r="A20" s="40" t="s">
        <v>28</v>
      </c>
      <c r="B20" s="34" t="s">
        <v>26</v>
      </c>
      <c r="C20" s="34"/>
      <c r="D20" s="34"/>
      <c r="E20" s="49">
        <v>1800</v>
      </c>
      <c r="F20" s="34"/>
    </row>
    <row r="21" spans="1:6" ht="15.75" thickBot="1" x14ac:dyDescent="0.3">
      <c r="A21" s="40"/>
      <c r="B21" s="34" t="s">
        <v>255</v>
      </c>
      <c r="C21" s="34"/>
      <c r="D21" s="34"/>
      <c r="E21" s="34">
        <v>25545.313333333335</v>
      </c>
      <c r="F21" s="34"/>
    </row>
    <row r="22" spans="1:6" ht="15.75" thickBot="1" x14ac:dyDescent="0.3">
      <c r="A22" s="40"/>
      <c r="B22" s="34" t="s">
        <v>274</v>
      </c>
      <c r="C22" s="34"/>
      <c r="D22" s="34"/>
      <c r="E22" s="34">
        <v>25000</v>
      </c>
      <c r="F22" s="34"/>
    </row>
    <row r="23" spans="1:6" ht="15.75" thickBot="1" x14ac:dyDescent="0.3">
      <c r="A23" s="52"/>
      <c r="B23" s="34" t="s">
        <v>21</v>
      </c>
      <c r="C23" s="34"/>
      <c r="D23" s="34"/>
      <c r="E23" s="34">
        <v>0</v>
      </c>
      <c r="F23" s="34"/>
    </row>
    <row r="24" spans="1:6" ht="15.75" thickBot="1" x14ac:dyDescent="0.3">
      <c r="A24" s="34" t="s">
        <v>276</v>
      </c>
      <c r="B24" s="34"/>
      <c r="C24" s="34"/>
      <c r="D24" s="34"/>
      <c r="E24" s="34">
        <v>86022.271733333342</v>
      </c>
      <c r="F24" s="34">
        <f>E24</f>
        <v>86022.271733333342</v>
      </c>
    </row>
    <row r="25" spans="1:6" ht="15.75" thickBot="1" x14ac:dyDescent="0.3">
      <c r="A25" s="34" t="s">
        <v>275</v>
      </c>
      <c r="B25" s="34"/>
      <c r="C25" s="34"/>
      <c r="D25" s="34"/>
      <c r="E25" s="34">
        <v>289684.32826666668</v>
      </c>
      <c r="F25" s="34"/>
    </row>
    <row r="26" spans="1:6" ht="15.75" thickBot="1" x14ac:dyDescent="0.3">
      <c r="A26" s="34"/>
      <c r="B26" s="34"/>
      <c r="C26" s="34"/>
      <c r="D26" s="34"/>
      <c r="E26" s="34"/>
      <c r="F26" s="3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F26"/>
  <sheetViews>
    <sheetView workbookViewId="0">
      <selection activeCell="G16" sqref="G16"/>
    </sheetView>
  </sheetViews>
  <sheetFormatPr baseColWidth="10" defaultRowHeight="15" x14ac:dyDescent="0.25"/>
  <cols>
    <col min="1" max="1" width="18.42578125" customWidth="1"/>
    <col min="2" max="2" width="20.42578125" customWidth="1"/>
    <col min="5" max="5" width="15" customWidth="1"/>
    <col min="6" max="6" width="17.85546875" customWidth="1"/>
  </cols>
  <sheetData>
    <row r="1" spans="1:6" ht="33.75" customHeight="1" thickBot="1" x14ac:dyDescent="0.3">
      <c r="A1" s="44"/>
      <c r="B1" s="45"/>
      <c r="C1" s="46" t="s">
        <v>264</v>
      </c>
      <c r="D1" s="47"/>
      <c r="E1" s="47"/>
      <c r="F1" s="48"/>
    </row>
    <row r="2" spans="1:6" x14ac:dyDescent="0.25">
      <c r="A2" s="35" t="s">
        <v>1</v>
      </c>
      <c r="B2" s="49" t="s">
        <v>97</v>
      </c>
      <c r="C2" s="36" t="s">
        <v>262</v>
      </c>
      <c r="D2" s="49" t="s">
        <v>100</v>
      </c>
      <c r="E2" s="36"/>
      <c r="F2" s="37"/>
    </row>
    <row r="3" spans="1:6" x14ac:dyDescent="0.25">
      <c r="A3" s="38" t="s">
        <v>98</v>
      </c>
      <c r="B3" s="39"/>
      <c r="C3" s="39" t="s">
        <v>263</v>
      </c>
      <c r="D3" s="39" t="s">
        <v>101</v>
      </c>
      <c r="E3" s="39"/>
      <c r="F3" s="40"/>
    </row>
    <row r="4" spans="1:6" x14ac:dyDescent="0.25">
      <c r="A4" s="38" t="s">
        <v>99</v>
      </c>
      <c r="B4" s="39"/>
      <c r="C4" s="39" t="s">
        <v>281</v>
      </c>
      <c r="D4" s="39" t="s">
        <v>282</v>
      </c>
      <c r="E4" s="39" t="s">
        <v>283</v>
      </c>
      <c r="F4" s="40"/>
    </row>
    <row r="5" spans="1:6" ht="15.75" thickBot="1" x14ac:dyDescent="0.3">
      <c r="A5" s="41"/>
      <c r="B5" s="42"/>
      <c r="C5" s="42"/>
      <c r="D5" s="42"/>
      <c r="E5" s="42"/>
      <c r="F5" s="43"/>
    </row>
    <row r="6" spans="1:6" ht="15.75" thickBot="1" x14ac:dyDescent="0.3">
      <c r="A6" s="34" t="s">
        <v>265</v>
      </c>
      <c r="B6" s="34"/>
      <c r="C6" s="34"/>
      <c r="D6" s="34"/>
      <c r="E6" s="34"/>
      <c r="F6" s="49">
        <v>240062.05000000002</v>
      </c>
    </row>
    <row r="7" spans="1:6" ht="15.75" thickBot="1" x14ac:dyDescent="0.3">
      <c r="A7" s="34" t="s">
        <v>11</v>
      </c>
      <c r="B7" s="34"/>
      <c r="C7" s="34"/>
      <c r="D7" s="34"/>
      <c r="E7" s="34"/>
      <c r="F7" s="34">
        <v>0</v>
      </c>
    </row>
    <row r="8" spans="1:6" ht="15.75" thickBot="1" x14ac:dyDescent="0.3">
      <c r="A8" s="34" t="s">
        <v>266</v>
      </c>
      <c r="B8" s="34"/>
      <c r="C8" s="34"/>
      <c r="D8" s="34"/>
      <c r="E8" s="34"/>
      <c r="F8" s="34">
        <v>0</v>
      </c>
    </row>
    <row r="9" spans="1:6" ht="15.75" thickBot="1" x14ac:dyDescent="0.3">
      <c r="A9" s="34" t="s">
        <v>267</v>
      </c>
      <c r="B9" s="34"/>
      <c r="C9" s="34"/>
      <c r="D9" s="34"/>
      <c r="E9" s="34"/>
      <c r="F9" s="34">
        <v>0</v>
      </c>
    </row>
    <row r="10" spans="1:6" ht="15.75" thickBot="1" x14ac:dyDescent="0.3">
      <c r="A10" s="34" t="s">
        <v>268</v>
      </c>
      <c r="B10" s="34"/>
      <c r="C10" s="34"/>
      <c r="D10" s="34"/>
      <c r="E10" s="34"/>
      <c r="F10" s="34">
        <v>0</v>
      </c>
    </row>
    <row r="11" spans="1:6" ht="15.75" thickBot="1" x14ac:dyDescent="0.3">
      <c r="A11" s="34" t="s">
        <v>269</v>
      </c>
      <c r="B11" s="34"/>
      <c r="C11" s="34"/>
      <c r="D11" s="34"/>
      <c r="E11" s="34"/>
      <c r="F11" s="34">
        <v>0</v>
      </c>
    </row>
    <row r="12" spans="1:6" ht="15.75" thickBot="1" x14ac:dyDescent="0.3">
      <c r="A12" s="34" t="s">
        <v>16</v>
      </c>
      <c r="B12" s="34"/>
      <c r="C12" s="34"/>
      <c r="D12" s="34"/>
      <c r="E12" s="34"/>
      <c r="F12" s="34">
        <v>0</v>
      </c>
    </row>
    <row r="13" spans="1:6" ht="15.75" thickBot="1" x14ac:dyDescent="0.3">
      <c r="A13" s="34" t="s">
        <v>18</v>
      </c>
      <c r="B13" s="34"/>
      <c r="C13" s="34"/>
      <c r="D13" s="34"/>
      <c r="E13" s="34"/>
      <c r="F13" s="34">
        <v>0</v>
      </c>
    </row>
    <row r="14" spans="1:6" ht="15.75" thickBot="1" x14ac:dyDescent="0.3">
      <c r="A14" s="34" t="s">
        <v>270</v>
      </c>
      <c r="B14" s="34"/>
      <c r="C14" s="34"/>
      <c r="D14" s="34"/>
      <c r="E14" s="34">
        <f>F14</f>
        <v>240062.05000000002</v>
      </c>
      <c r="F14" s="34">
        <f>F6</f>
        <v>240062.05000000002</v>
      </c>
    </row>
    <row r="15" spans="1:6" ht="15.75" thickBot="1" x14ac:dyDescent="0.3">
      <c r="A15" s="34" t="s">
        <v>17</v>
      </c>
      <c r="B15" s="34"/>
      <c r="C15" s="34"/>
      <c r="D15" s="34"/>
      <c r="E15" s="34">
        <v>0</v>
      </c>
      <c r="F15" s="34"/>
    </row>
    <row r="16" spans="1:6" ht="15.75" thickBot="1" x14ac:dyDescent="0.3">
      <c r="A16" s="34" t="s">
        <v>271</v>
      </c>
      <c r="B16" s="34"/>
      <c r="C16" s="34"/>
      <c r="D16" s="34"/>
      <c r="E16" s="34">
        <f>E14</f>
        <v>240062.05000000002</v>
      </c>
      <c r="F16" s="34"/>
    </row>
    <row r="17" spans="1:6" ht="15.75" thickBot="1" x14ac:dyDescent="0.3">
      <c r="A17" s="51"/>
      <c r="B17" s="34" t="s">
        <v>272</v>
      </c>
      <c r="C17" s="34"/>
      <c r="D17" s="34"/>
      <c r="E17" s="49">
        <v>13443.474800000002</v>
      </c>
      <c r="F17" s="34"/>
    </row>
    <row r="18" spans="1:6" ht="15.75" thickBot="1" x14ac:dyDescent="0.3">
      <c r="A18" s="40"/>
      <c r="B18" s="34" t="s">
        <v>273</v>
      </c>
      <c r="C18" s="34"/>
      <c r="D18" s="34"/>
      <c r="E18" s="34">
        <v>0</v>
      </c>
      <c r="F18" s="34"/>
    </row>
    <row r="19" spans="1:6" ht="15.75" thickBot="1" x14ac:dyDescent="0.3">
      <c r="A19" s="40"/>
      <c r="B19" s="34" t="s">
        <v>19</v>
      </c>
      <c r="C19" s="34"/>
      <c r="D19" s="34"/>
      <c r="E19" s="34">
        <v>2500</v>
      </c>
      <c r="F19" s="34"/>
    </row>
    <row r="20" spans="1:6" ht="15.75" thickBot="1" x14ac:dyDescent="0.3">
      <c r="A20" s="40" t="s">
        <v>28</v>
      </c>
      <c r="B20" s="34" t="s">
        <v>26</v>
      </c>
      <c r="C20" s="34"/>
      <c r="D20" s="34"/>
      <c r="E20" s="49">
        <v>900</v>
      </c>
      <c r="F20" s="34"/>
    </row>
    <row r="21" spans="1:6" ht="15.75" thickBot="1" x14ac:dyDescent="0.3">
      <c r="A21" s="40"/>
      <c r="B21" s="34" t="s">
        <v>255</v>
      </c>
      <c r="C21" s="34"/>
      <c r="D21" s="34"/>
      <c r="E21" s="34">
        <v>27413.030500000004</v>
      </c>
      <c r="F21" s="34"/>
    </row>
    <row r="22" spans="1:6" ht="15.75" thickBot="1" x14ac:dyDescent="0.3">
      <c r="A22" s="40"/>
      <c r="B22" s="34" t="s">
        <v>274</v>
      </c>
      <c r="C22" s="34"/>
      <c r="D22" s="34"/>
      <c r="E22" s="34">
        <v>0</v>
      </c>
      <c r="F22" s="34"/>
    </row>
    <row r="23" spans="1:6" ht="15.75" thickBot="1" x14ac:dyDescent="0.3">
      <c r="A23" s="52"/>
      <c r="B23" s="34" t="s">
        <v>21</v>
      </c>
      <c r="C23" s="34"/>
      <c r="D23" s="34"/>
      <c r="E23" s="34">
        <v>0</v>
      </c>
      <c r="F23" s="34"/>
    </row>
    <row r="24" spans="1:6" ht="15.75" thickBot="1" x14ac:dyDescent="0.3">
      <c r="A24" s="34" t="s">
        <v>276</v>
      </c>
      <c r="B24" s="34"/>
      <c r="C24" s="34"/>
      <c r="D24" s="34"/>
      <c r="E24" s="34">
        <v>44256.505300000004</v>
      </c>
      <c r="F24" s="34">
        <f>E24</f>
        <v>44256.505300000004</v>
      </c>
    </row>
    <row r="25" spans="1:6" ht="15.75" thickBot="1" x14ac:dyDescent="0.3">
      <c r="A25" s="34" t="s">
        <v>275</v>
      </c>
      <c r="B25" s="34"/>
      <c r="C25" s="34"/>
      <c r="D25" s="34"/>
      <c r="E25" s="34">
        <v>195805.54470000003</v>
      </c>
      <c r="F25" s="34"/>
    </row>
    <row r="26" spans="1:6" ht="15.75" thickBot="1" x14ac:dyDescent="0.3">
      <c r="A26" s="34"/>
      <c r="B26" s="34"/>
      <c r="C26" s="34"/>
      <c r="D26" s="34"/>
      <c r="E26" s="34"/>
      <c r="F26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5</vt:i4>
      </vt:variant>
    </vt:vector>
  </HeadingPairs>
  <TitlesOfParts>
    <vt:vector size="16" baseType="lpstr">
      <vt:lpstr>Accueil</vt:lpstr>
      <vt:lpstr>TBord</vt:lpstr>
      <vt:lpstr>listes_employes</vt:lpstr>
      <vt:lpstr>Sexe</vt:lpstr>
      <vt:lpstr>Etat_Civil</vt:lpstr>
      <vt:lpstr>Categorie</vt:lpstr>
      <vt:lpstr>livre_paie</vt:lpstr>
      <vt:lpstr>ecritures_comptables</vt:lpstr>
      <vt:lpstr>bulletinA</vt:lpstr>
      <vt:lpstr>bulletinB</vt:lpstr>
      <vt:lpstr>bulletinC</vt:lpstr>
      <vt:lpstr>bulletinB</vt:lpstr>
      <vt:lpstr>bulletinC</vt:lpstr>
      <vt:lpstr>bulletinQ</vt:lpstr>
      <vt:lpstr>enregistrement</vt:lpstr>
      <vt:lpstr>livre_de_paie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£NRON</dc:creator>
  <cp:lastModifiedBy>Bilal</cp:lastModifiedBy>
  <dcterms:created xsi:type="dcterms:W3CDTF">2020-05-20T15:03:43Z</dcterms:created>
  <dcterms:modified xsi:type="dcterms:W3CDTF">2020-05-31T18:32:55Z</dcterms:modified>
</cp:coreProperties>
</file>